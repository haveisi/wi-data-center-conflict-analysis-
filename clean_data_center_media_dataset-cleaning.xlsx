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hveisi_uwsp_edu/Documents/Desktop/Paper/Social/"/>
    </mc:Choice>
  </mc:AlternateContent>
  <xr:revisionPtr revIDLastSave="86" documentId="8_{52E82835-95AD-4031-A2B0-DB864F996C11}" xr6:coauthVersionLast="47" xr6:coauthVersionMax="47" xr10:uidLastSave="{98C77AFF-228F-4057-A014-F71AF6C5ED1E}"/>
  <bookViews>
    <workbookView xWindow="-120" yWindow="-120" windowWidth="29040" windowHeight="15720" activeTab="5" xr2:uid="{00000000-000D-0000-FFFF-FFFF00000000}"/>
  </bookViews>
  <sheets>
    <sheet name="README" sheetId="4" r:id="rId1"/>
    <sheet name="Data Dictionary" sheetId="5" r:id="rId2"/>
    <sheet name="Codebook" sheetId="3" r:id="rId3"/>
    <sheet name="Uploads_Index" sheetId="2" r:id="rId4"/>
    <sheet name="Coded_Cases" sheetId="1" r:id="rId5"/>
    <sheet name="Results" sheetId="6" r:id="rId6"/>
  </sheets>
  <definedNames>
    <definedName name="_xlnm._FilterDatabase" localSheetId="2" hidden="1">Codebook!$A$1:$C$26</definedName>
    <definedName name="_xlnm._FilterDatabase" localSheetId="4" hidden="1">Coded_Cases!$A$1:$X$64</definedName>
    <definedName name="_xlnm._FilterDatabase" localSheetId="3" hidden="1">Uploads_Index!$A$1:$E$65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1" l="1"/>
  <c r="Q65" i="1"/>
  <c r="R65" i="1"/>
  <c r="S65" i="1"/>
  <c r="O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X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Source_file corresponds to the uploaded document used for coding. The workbook is based on the user-provided file set rather than live web extraction.</t>
        </r>
      </text>
    </comment>
  </commentList>
</comments>
</file>

<file path=xl/sharedStrings.xml><?xml version="1.0" encoding="utf-8"?>
<sst xmlns="http://schemas.openxmlformats.org/spreadsheetml/2006/main" count="1656" uniqueCount="906">
  <si>
    <t>ID</t>
  </si>
  <si>
    <t>title</t>
  </si>
  <si>
    <t>date</t>
  </si>
  <si>
    <t>outlet</t>
  </si>
  <si>
    <t>location</t>
  </si>
  <si>
    <t>company</t>
  </si>
  <si>
    <t>article_type</t>
  </si>
  <si>
    <t>project_stage</t>
  </si>
  <si>
    <t>primary_conflict_frame</t>
  </si>
  <si>
    <t>secondary_conflict_frame</t>
  </si>
  <si>
    <t>actors_present</t>
  </si>
  <si>
    <t>actors_quoted</t>
  </si>
  <si>
    <t>benefits_emphasized</t>
  </si>
  <si>
    <t>risks_emphasized</t>
  </si>
  <si>
    <t>governance_issue</t>
  </si>
  <si>
    <t>transparency_issue</t>
  </si>
  <si>
    <t>energy_issue</t>
  </si>
  <si>
    <t>water_issue</t>
  </si>
  <si>
    <t>land_use_issue</t>
  </si>
  <si>
    <t>tone</t>
  </si>
  <si>
    <t>evidence_type</t>
  </si>
  <si>
    <t>notable_quote</t>
  </si>
  <si>
    <t>memo</t>
  </si>
  <si>
    <t>source_file</t>
  </si>
  <si>
    <t>Water and energy use is growing as data centers are built across the Midwest and Great Plains</t>
  </si>
  <si>
    <t>2025-07-21</t>
  </si>
  <si>
    <t>Wisconsin Public Radio</t>
  </si>
  <si>
    <t>Midwest / Dane County, WI</t>
  </si>
  <si>
    <t>QTS; Microsoft</t>
  </si>
  <si>
    <t>News</t>
  </si>
  <si>
    <t>proposal</t>
  </si>
  <si>
    <t>energy demand</t>
  </si>
  <si>
    <t>water use</t>
  </si>
  <si>
    <t>tech firms; researchers; environmental groups; utilities</t>
  </si>
  <si>
    <t>Shaolei Ren; Zack Pistora; QTS executive</t>
  </si>
  <si>
    <t>economic development; tech infrastructure</t>
  </si>
  <si>
    <t>electricity demand; carbon footprint; water consumption</t>
  </si>
  <si>
    <t>neutral</t>
  </si>
  <si>
    <t>mixed</t>
  </si>
  <si>
    <t>“Data centers are among the most energy-intensive types of buildings.”</t>
  </si>
  <si>
    <t>Regional framing of water-energy tradeoffs in new data center development.</t>
  </si>
  <si>
    <t>1. Water and energy use is growing as data centers are built across the Midwest and Great Plains.docx</t>
  </si>
  <si>
    <t>Report says growing demand from data centers, industry could stress Great Lakes water</t>
  </si>
  <si>
    <t>2025-09-03</t>
  </si>
  <si>
    <t>Great Lakes region / Wisconsin</t>
  </si>
  <si>
    <t>Multiple</t>
  </si>
  <si>
    <t>policy debate</t>
  </si>
  <si>
    <t>governance</t>
  </si>
  <si>
    <t>Alliance for the Great Lakes; regulators; economic development officials</t>
  </si>
  <si>
    <t>Helena Volzer</t>
  </si>
  <si>
    <t>economic growth</t>
  </si>
  <si>
    <t>water withdrawals; groundwater stress; weak reporting rules</t>
  </si>
  <si>
    <t>somewhat_negative</t>
  </si>
  <si>
    <t>report</t>
  </si>
  <si>
    <t>“States are largely unprepared to meet growing demand.”</t>
  </si>
  <si>
    <t>Focuses on regulatory gaps and Great Lakes water planning.</t>
  </si>
  <si>
    <t>2. Report says growing demand from data centers.docx</t>
  </si>
  <si>
    <t>Mega Data Centers Could Drain Water Supplies in Great Lakes Region if Protections Aren’t Put in Place</t>
  </si>
  <si>
    <t>2025-08-20</t>
  </si>
  <si>
    <t>WTTW News</t>
  </si>
  <si>
    <t>Great Lakes region</t>
  </si>
  <si>
    <t>Meta; Microsoft; hyperscalers</t>
  </si>
  <si>
    <t>Analysis</t>
  </si>
  <si>
    <t>transparency</t>
  </si>
  <si>
    <t>environmental NGOs; policymakers; residents</t>
  </si>
  <si>
    <t>regional development</t>
  </si>
  <si>
    <t>water depletion; groundwater conflict; poor disclosure</t>
  </si>
  <si>
    <t>expert analysis</t>
  </si>
  <si>
    <t>“A hyperscale center can consume 1–5 million gallons of water each day.”</t>
  </si>
  <si>
    <t>Stresses need for proactive protections before shortages emerge.</t>
  </si>
  <si>
    <t>3. Mega Data Centers Could Drain Water Supplies in Great Lakes Region if Protections Are.docx</t>
  </si>
  <si>
    <t>As Data Centers Proliferate Across Illinois, Communities Grapple with How to Supply the Necessary Water</t>
  </si>
  <si>
    <t>2025-06-16</t>
  </si>
  <si>
    <t>Inside Climate News</t>
  </si>
  <si>
    <t>Illinois / Great Lakes</t>
  </si>
  <si>
    <t>Equinix</t>
  </si>
  <si>
    <t>Investigative</t>
  </si>
  <si>
    <t>municipal officials; NGOs; developers</t>
  </si>
  <si>
    <t>Freshwater Society; Equinix spokesperson</t>
  </si>
  <si>
    <t>economic development</t>
  </si>
  <si>
    <t>water shortages; infrastructure strain; planning failures</t>
  </si>
  <si>
    <t>critical</t>
  </si>
  <si>
    <t>“Some places cannot support data centers.”</t>
  </si>
  <si>
    <t>Municipal water allocation and reclaimed-water debates.</t>
  </si>
  <si>
    <t>4. As Data Centers Proliferate Across Illinois, Communities Grapple.docx</t>
  </si>
  <si>
    <t>Are data centers draining the Great Lakes?</t>
  </si>
  <si>
    <t>Bridge Michigan / Planet Detroit</t>
  </si>
  <si>
    <t>economic tradeoffs</t>
  </si>
  <si>
    <t>environmental groups; utilities; policymakers</t>
  </si>
  <si>
    <t>Helena Volzer; Michigan Chamber</t>
  </si>
  <si>
    <t>aquifer depletion; water demand</t>
  </si>
  <si>
    <t>“There’s a tension right now between promoting economic development and protecting water resources.”</t>
  </si>
  <si>
    <t>Frames water-rich Great Lakes as finite and contested.</t>
  </si>
  <si>
    <t>5. Are data centers draining the Great Lakes.docx</t>
  </si>
  <si>
    <t>Data centers consume massive amounts of water – companies rarely tell the public exactly how much</t>
  </si>
  <si>
    <t>2025-08-19</t>
  </si>
  <si>
    <t>The Conversation</t>
  </si>
  <si>
    <t>U.S. / Great Lakes</t>
  </si>
  <si>
    <t>Amazon; Google; Microsoft; Meta</t>
  </si>
  <si>
    <t>operational</t>
  </si>
  <si>
    <t>researchers; tech firms</t>
  </si>
  <si>
    <t>Peyton McCauley; Melissa Scanlan</t>
  </si>
  <si>
    <t>digital infrastructure</t>
  </si>
  <si>
    <t>water consumption; incomplete corporate disclosure</t>
  </si>
  <si>
    <t>academic</t>
  </si>
  <si>
    <t>“Technology companies don’t always reveal how much water their data centers use.”</t>
  </si>
  <si>
    <t>Highlights reporting inconsistency across major tech firms.</t>
  </si>
  <si>
    <t>6. Data centers consume massive amounts of water.docx</t>
  </si>
  <si>
    <t>The Midwest's data center boom comes to Indiana</t>
  </si>
  <si>
    <t>2025-05-09</t>
  </si>
  <si>
    <t>Axios</t>
  </si>
  <si>
    <t>Midwest / Indiana</t>
  </si>
  <si>
    <t>Amazon; Google; Meta; Microsoft</t>
  </si>
  <si>
    <t>expansion</t>
  </si>
  <si>
    <t>utilities; policy experts; advocacy groups</t>
  </si>
  <si>
    <t>Helena Volzer; Dan Diorio</t>
  </si>
  <si>
    <t>energy demand; water use; secrecy</t>
  </si>
  <si>
    <t>“Their soaring energy and water demands often go unreported.”</t>
  </si>
  <si>
    <t>Regional overview of the Midwest boom.</t>
  </si>
  <si>
    <t>7. The Midwes's data center boom comes to Indiana.docx</t>
  </si>
  <si>
    <t>Mystery company's $1.6B data center proposed for Wisconsin farmland draws residents' ire</t>
  </si>
  <si>
    <t>2025-09-08</t>
  </si>
  <si>
    <t>Fox Business</t>
  </si>
  <si>
    <t>Menomonie, WI</t>
  </si>
  <si>
    <t>Balloonist LLC / unnamed tech firm</t>
  </si>
  <si>
    <t>land use conflict</t>
  </si>
  <si>
    <t>residents; city council; developer</t>
  </si>
  <si>
    <t>Sydney Brennan; Cody Gentz</t>
  </si>
  <si>
    <t>construction jobs; tax revenue</t>
  </si>
  <si>
    <t>loss of farmland; unknown developer</t>
  </si>
  <si>
    <t>public statements</t>
  </si>
  <si>
    <t>“Neither the council nor the public has been told who the company behind this project is.”</t>
  </si>
  <si>
    <t>Strong local skepticism toward secrecy and farmland conversion.</t>
  </si>
  <si>
    <t>8. Mystery companys 1.6B data center.docx</t>
  </si>
  <si>
    <t>AI could deplete drinking water sources around Illinois, Midwest</t>
  </si>
  <si>
    <t>Chicago Sun-Times</t>
  </si>
  <si>
    <t>Midwest / Illinois</t>
  </si>
  <si>
    <t>advocacy groups; industry representatives</t>
  </si>
  <si>
    <t>water depletion; secrecy agreements</t>
  </si>
  <si>
    <t>advocacy report</t>
  </si>
  <si>
    <t>“What we don’t know about water questions is more than what we do know.”</t>
  </si>
  <si>
    <t>Links AI expansion to regional drinking-water pressures.</t>
  </si>
  <si>
    <t>9. AI could deplete drinking water sources.docx</t>
  </si>
  <si>
    <t>‘They want our land, they want our water’: Caledonia residents speak out against planned data center</t>
  </si>
  <si>
    <t>2025-09-11</t>
  </si>
  <si>
    <t>Caledonia, WI</t>
  </si>
  <si>
    <t>Unknown / Project Nova</t>
  </si>
  <si>
    <t>conflict</t>
  </si>
  <si>
    <t>residents; village board; We Energies</t>
  </si>
  <si>
    <t>Marcia Buhler; Becky Girard; Paula Pintar</t>
  </si>
  <si>
    <t>none emphasized</t>
  </si>
  <si>
    <t>land loss; water use; rural character; lack of benefit</t>
  </si>
  <si>
    <t>negative</t>
  </si>
  <si>
    <t>public meeting</t>
  </si>
  <si>
    <t>“This company, whoever it is, they want our land, they want our water.”</t>
  </si>
  <si>
    <t>Classic place-identity and anti-secrecy opposition.</t>
  </si>
  <si>
    <t>10. They want our land.docx</t>
  </si>
  <si>
    <t>Wisconsin construction projects to watch in 2026</t>
  </si>
  <si>
    <t>2025-12-15</t>
  </si>
  <si>
    <t>Trade press / construction publication</t>
  </si>
  <si>
    <t>Wisconsin</t>
  </si>
  <si>
    <t>Microsoft; Meta; Vantage</t>
  </si>
  <si>
    <t>construction</t>
  </si>
  <si>
    <t>developers; contractors; utilities</t>
  </si>
  <si>
    <t>project officials</t>
  </si>
  <si>
    <t>jobs; investment; tax revenue</t>
  </si>
  <si>
    <t>energy infrastructure expansion</t>
  </si>
  <si>
    <t>somewhat_positive</t>
  </si>
  <si>
    <t>industry reporting</t>
  </si>
  <si>
    <t>“Data centers dominate Wisconsin construction.”</t>
  </si>
  <si>
    <t>Construction-focused outlook piece emphasizing scale and investment.</t>
  </si>
  <si>
    <t>11. Microsoft data center in Mount Pleasant.docx</t>
  </si>
  <si>
    <t>‘It’s called progress’: Owners of farmland eyed for Google data center speak out</t>
  </si>
  <si>
    <t>2025-09-17</t>
  </si>
  <si>
    <t>WISH-TV</t>
  </si>
  <si>
    <t>Franklin Township, IN</t>
  </si>
  <si>
    <t>Google</t>
  </si>
  <si>
    <t>landowners; neighbors; Google; council representative</t>
  </si>
  <si>
    <t>Kevin Pelko; Cathy Pelko; Michael-Paul Hart</t>
  </si>
  <si>
    <t>land sale; green space; neighborhood improvements</t>
  </si>
  <si>
    <t>utility demand; neighbor opposition</t>
  </si>
  <si>
    <t>interviews</t>
  </si>
  <si>
    <t>“It’s called progress. It happens. You can’t stop it.”</t>
  </si>
  <si>
    <t>Presents pro-sale landowner perspective against neighborhood opposition.</t>
  </si>
  <si>
    <t>12. It’s called progress’ Owners of farmland eyed for Google data center speak out.docx</t>
  </si>
  <si>
    <t>Janesville moves forward with data center plans for abandoned GM site</t>
  </si>
  <si>
    <t>2025-11-11</t>
  </si>
  <si>
    <t>Janesville, WI</t>
  </si>
  <si>
    <t>Viridian Acquisitions</t>
  </si>
  <si>
    <t>community opposition</t>
  </si>
  <si>
    <t>residents; city council; developer; business groups</t>
  </si>
  <si>
    <t>Julie Backenkeller; Seth Lambert; Erik Zitek</t>
  </si>
  <si>
    <t>brownfield redevelopment; jobs; economic impact</t>
  </si>
  <si>
    <t>environmental concerns; distrust of corporations</t>
  </si>
  <si>
    <t>public hearing</t>
  </si>
  <si>
    <t>“If data centers are so great, then why are so many communities fighting them?”</t>
  </si>
  <si>
    <t>Brownfield redevelopment framed as both opportunity and risk.</t>
  </si>
  <si>
    <t>13. Janesville moves forward with data center plans for abandoned GM site.docx</t>
  </si>
  <si>
    <t>Port Washington data center; residents unite against proposed power line routes</t>
  </si>
  <si>
    <t>FOX6 News Milwaukee</t>
  </si>
  <si>
    <t>Fredonia / Saukville / Port Washington, WI</t>
  </si>
  <si>
    <t>Vantage / American Transmission Co.</t>
  </si>
  <si>
    <t>infrastructure conflict</t>
  </si>
  <si>
    <t>residents; coalitions; ATC; PSC</t>
  </si>
  <si>
    <t>Andrew McComb; Patti Plough; Craig Collins</t>
  </si>
  <si>
    <t>property damage; landscape loss; transmission line impacts</t>
  </si>
  <si>
    <t>local TV report</t>
  </si>
  <si>
    <t>“You’re decimating a historic property.”</t>
  </si>
  <si>
    <t>Opposition focused on transmission routes rather than the campus itself.</t>
  </si>
  <si>
    <t>14. Port Washington data center.docx</t>
  </si>
  <si>
    <t>Made in Wisconsin: The world’s most powerful AI datacenter</t>
  </si>
  <si>
    <t>2025-09-18</t>
  </si>
  <si>
    <t>Microsoft On the Issues</t>
  </si>
  <si>
    <t>Mount Pleasant, WI</t>
  </si>
  <si>
    <t>Microsoft</t>
  </si>
  <si>
    <t>Opinion / Corporate post</t>
  </si>
  <si>
    <t>sustainability</t>
  </si>
  <si>
    <t>Microsoft; local colleges; watershed partners</t>
  </si>
  <si>
    <t>Brad Smith</t>
  </si>
  <si>
    <t>jobs; AI leadership; tax base; training programs</t>
  </si>
  <si>
    <t>public concern over energy and water</t>
  </si>
  <si>
    <t>positive</t>
  </si>
  <si>
    <t>corporate statement</t>
  </si>
  <si>
    <t>“It means new jobs, new skills, and new opportunities — right here at home.”</t>
  </si>
  <si>
    <t>Corporate self-framing as responsible neighbor and sustainability leader.</t>
  </si>
  <si>
    <t>15.  Made in Wisconsin.docx</t>
  </si>
  <si>
    <t>Water levels across the Great Lakes are falling – just as US data centers move in</t>
  </si>
  <si>
    <t>2025-12-16</t>
  </si>
  <si>
    <t>The Guardian</t>
  </si>
  <si>
    <t>Feature</t>
  </si>
  <si>
    <t>farmers; residents; utilities; advocates</t>
  </si>
  <si>
    <t>Tom Hermes; Kirsten James</t>
  </si>
  <si>
    <t>tax revenue; infrastructure investment</t>
  </si>
  <si>
    <t>falling lake levels; drought; local water pressure</t>
  </si>
  <si>
    <t>concern</t>
  </si>
  <si>
    <t>reported feature</t>
  </si>
  <si>
    <t>“We have city water here. That’s going to reduce the pressure if they are sucking all the water.”</t>
  </si>
  <si>
    <t>Connects local water anxieties to broad regional hydrologic change.</t>
  </si>
  <si>
    <t>16. Water levels across the Great Lakes are falling.docx</t>
  </si>
  <si>
    <t>What Happens When Data Centers Come to Town?</t>
  </si>
  <si>
    <t>2025-07-01</t>
  </si>
  <si>
    <t>University of Michigan STPP</t>
  </si>
  <si>
    <t>U.S. / policy report</t>
  </si>
  <si>
    <t>Policy report</t>
  </si>
  <si>
    <t>researchers; policymakers; utilities</t>
  </si>
  <si>
    <t>report authors</t>
  </si>
  <si>
    <t>policy solutions; transparency; ratepayer protections</t>
  </si>
  <si>
    <t>utility rates; tax breaks; fossil fuel lock-in</t>
  </si>
  <si>
    <t>policy report</t>
  </si>
  <si>
    <t>“Data centers increase local electric utility rates...”</t>
  </si>
  <si>
    <t>Foundational policy report summarizing systemic harms and solutions.</t>
  </si>
  <si>
    <t>17. WHAT HAPPENS WHEN DATA.pdf</t>
  </si>
  <si>
    <t>This Ohio county banned wind and solar. Now, residents are pushing back.</t>
  </si>
  <si>
    <t>2025-11-18</t>
  </si>
  <si>
    <t>Canary Media</t>
  </si>
  <si>
    <t>Richland County, OH</t>
  </si>
  <si>
    <t>County renewable-energy policy</t>
  </si>
  <si>
    <t>energy policy</t>
  </si>
  <si>
    <t>residents; county commissioners; clean-energy advocates</t>
  </si>
  <si>
    <t>Christina O’Millian; Tony Vero</t>
  </si>
  <si>
    <t>property rights; job development</t>
  </si>
  <si>
    <t>renewable-energy restrictions</t>
  </si>
  <si>
    <t>news feature</t>
  </si>
  <si>
    <t>“We felt as constituents that we just hadn’t been heard.”</t>
  </si>
  <si>
    <t>Contextual case about energy siting politics; not primarily a data-center story.</t>
  </si>
  <si>
    <t>18. Unrelated_This Ohio county banned wind and solar.docx</t>
  </si>
  <si>
    <t>How AI data centers are tapping into Wisconsin's fresh water</t>
  </si>
  <si>
    <t>2025-05-23</t>
  </si>
  <si>
    <t>PBS Wisconsin / Here &amp; Now</t>
  </si>
  <si>
    <t>Microsoft; Meta</t>
  </si>
  <si>
    <t>Interview / News</t>
  </si>
  <si>
    <t>environmental advocates; ethicists; WEDC; Microsoft</t>
  </si>
  <si>
    <t>Amy Barrilleaux; Annette Zimmermann; Missy Hughes</t>
  </si>
  <si>
    <t>jobs; tax revenue; AI leadership</t>
  </si>
  <si>
    <t>water withdrawals; unknown long-term impacts</t>
  </si>
  <si>
    <t>“Data centers, particularly AI data centers, need a lot of water.”</t>
  </si>
  <si>
    <t>Balances state boosterism with ecological caution.</t>
  </si>
  <si>
    <t>19. How AI data centers are tapping into.docx</t>
  </si>
  <si>
    <t>Everything Wisconsinites need to know about AI data centers</t>
  </si>
  <si>
    <t>2025-12-20</t>
  </si>
  <si>
    <t>IndyStar</t>
  </si>
  <si>
    <t>Microsoft; Meta; OpenAI; Oracle</t>
  </si>
  <si>
    <t>Explainer</t>
  </si>
  <si>
    <t>multiple</t>
  </si>
  <si>
    <t>advocacy groups; tech firms; residents</t>
  </si>
  <si>
    <t>public education; jobs narrative</t>
  </si>
  <si>
    <t>utility bills; air pollution; water use; noise</t>
  </si>
  <si>
    <t>explainer</t>
  </si>
  <si>
    <t>“A single AI data center can use anywhere from 1 to 5 million gallons of water per day.”</t>
  </si>
  <si>
    <t>Broad explainer on why data centers are controversial in Wisconsin.</t>
  </si>
  <si>
    <t>20. Everything Wisconsinites need to know about AI data centers.docx</t>
  </si>
  <si>
    <t>Could We Energies customers see rate increases due to data centers in southeastern Wisconsin?</t>
  </si>
  <si>
    <t>2025-12-19</t>
  </si>
  <si>
    <t>TMJ4</t>
  </si>
  <si>
    <t>Port Washington / southeastern WI</t>
  </si>
  <si>
    <t>We Energies; Microsoft; Vantage</t>
  </si>
  <si>
    <t>energy pricing</t>
  </si>
  <si>
    <t>residents; utility advocates; We Energies</t>
  </si>
  <si>
    <t>Samantha Martin; Tom Content; Brendan Conway</t>
  </si>
  <si>
    <t>assurances that firms will pay costs</t>
  </si>
  <si>
    <t>higher bills; stranded assets; utility risk</t>
  </si>
  <si>
    <t>broadcast reporting</t>
  </si>
  <si>
    <t>“The concerns are real.”</t>
  </si>
  <si>
    <t>Competing claims about whether ratepayers will be protected.</t>
  </si>
  <si>
    <t>21. Could We Energies customers see rate increases due to data.docx</t>
  </si>
  <si>
    <t>$8B AI data center campus OK'd in Port Washington</t>
  </si>
  <si>
    <t>2025-08-22</t>
  </si>
  <si>
    <t>Milwaukee Journal Sentinel</t>
  </si>
  <si>
    <t>Port Washington, WI</t>
  </si>
  <si>
    <t>Vantage</t>
  </si>
  <si>
    <t>approval</t>
  </si>
  <si>
    <t>city officials; residents; Vantage</t>
  </si>
  <si>
    <t>Dana Adams; Mayor Ted Neitzke</t>
  </si>
  <si>
    <t>valuation growth; infrastructure investment</t>
  </si>
  <si>
    <t>energy needs; environmental impact; skepticism of assurances</t>
  </si>
  <si>
    <t>news report</t>
  </si>
  <si>
    <t>“Attendees were largely skeptical.”</t>
  </si>
  <si>
    <t>Approval story emphasizing scale and resident criticism.</t>
  </si>
  <si>
    <t>22. B_AI_data_center_campus_OKd_in_Port_Washington__Milwaukee_Journal_Sentinel_WI___August_22_2025__pA12.pdf</t>
  </si>
  <si>
    <t>Southeast Wisconsin Emerges as a Major Data Center Hub in 2025</t>
  </si>
  <si>
    <t>2025-12-24</t>
  </si>
  <si>
    <t>IDC Nova / trade publication</t>
  </si>
  <si>
    <t>Southeast Wisconsin</t>
  </si>
  <si>
    <t>Hyperscalers; colocation operators</t>
  </si>
  <si>
    <t>Industry report</t>
  </si>
  <si>
    <t>regional growth</t>
  </si>
  <si>
    <t>developers; industry analysts</t>
  </si>
  <si>
    <t>industry observer</t>
  </si>
  <si>
    <t>investment; jobs; property tax revenue</t>
  </si>
  <si>
    <t>grid load</t>
  </si>
  <si>
    <t>industry report</t>
  </si>
  <si>
    <t>“The region's growing appeal to hyperscalers...”</t>
  </si>
  <si>
    <t>Trade-oriented regional growth narrative.</t>
  </si>
  <si>
    <t>23. Southeast Wisconsin Emerges as a Major Data Center Hub in 2025.docx</t>
  </si>
  <si>
    <t>Wisconsin's new AI data centers spark transparency, environmental concerns</t>
  </si>
  <si>
    <t>2025-11-06</t>
  </si>
  <si>
    <t>The Daily Cardinal</t>
  </si>
  <si>
    <t>Microsoft; Vantage</t>
  </si>
  <si>
    <t>In-depth / News</t>
  </si>
  <si>
    <t>environmental risk</t>
  </si>
  <si>
    <t>environmental groups; residents; Microsoft</t>
  </si>
  <si>
    <t>Emily Park; Brittany Keyes; Ryan Billingham</t>
  </si>
  <si>
    <t>jobs; local partnerships</t>
  </si>
  <si>
    <t>energy use; water use; diesel generators; secrecy</t>
  </si>
  <si>
    <t>“The transparency has been quite poor thus far.”</t>
  </si>
  <si>
    <t>Strong activist framing of environmental and governance concerns.</t>
  </si>
  <si>
    <t>24. Wisconsin's new AI data centers spark.docx</t>
  </si>
  <si>
    <t>What do data centers actually do? An explanation as they grow in Wisconsin</t>
  </si>
  <si>
    <t>Spectrum News 1</t>
  </si>
  <si>
    <t>Microsoft; Vantage; Meta</t>
  </si>
  <si>
    <t>public explanation</t>
  </si>
  <si>
    <t>computer science faculty; companies</t>
  </si>
  <si>
    <t>Rick Bingen</t>
  </si>
  <si>
    <t>public understanding; workforce preparation</t>
  </si>
  <si>
    <t>energy use; water needs</t>
  </si>
  <si>
    <t>“Data centers are the cloud.”</t>
  </si>
  <si>
    <t>Basic explainer with moderate environmental caveats.</t>
  </si>
  <si>
    <t>26. What do data centers actually do.docx</t>
  </si>
  <si>
    <t>Datacenters meet resistance over environmental concerns</t>
  </si>
  <si>
    <t>2025-11-10</t>
  </si>
  <si>
    <t>lawmakers; labor groups; utilities; environmental groups</t>
  </si>
  <si>
    <t>Jodi Habush Sinykin; Tom Content</t>
  </si>
  <si>
    <t>prevailing wage; public benefits funds</t>
  </si>
  <si>
    <t>rising power costs; weak oversight</t>
  </si>
  <si>
    <t>legislative reporting</t>
  </si>
  <si>
    <t>“This legislation guarantees water usage and energy consumption transparency...”</t>
  </si>
  <si>
    <t>Covers Democratic proposal for statewide guardrails.</t>
  </si>
  <si>
    <t>27. Datacenters meet resistance over environmental concerns.docx</t>
  </si>
  <si>
    <t>What impacts could new data centers have in Wisconsin? Environmental expert weighs in</t>
  </si>
  <si>
    <t>2026-01-09</t>
  </si>
  <si>
    <t>WUWM</t>
  </si>
  <si>
    <t>Microsoft; Meta; Vantage; QTS</t>
  </si>
  <si>
    <t>environmental impact</t>
  </si>
  <si>
    <t>Clean Wisconsin; county officials; communities</t>
  </si>
  <si>
    <t>Amy Barrilleaux</t>
  </si>
  <si>
    <t>possible local revenue</t>
  </si>
  <si>
    <t>diesel generators; PFAS; gas plant buildout; water stress</t>
  </si>
  <si>
    <t>interview</t>
  </si>
  <si>
    <t>“We can’t just become a state of power plants.”</t>
  </si>
  <si>
    <t>Rich thematic interview on cumulative impacts.</t>
  </si>
  <si>
    <t>28. What impacts could new data centers have in Wisconsin.docx</t>
  </si>
  <si>
    <t>Ohio regulators turn down appeal, OK utility’s data center billing plan</t>
  </si>
  <si>
    <t>Ohio Capital Journal</t>
  </si>
  <si>
    <t>Ohio</t>
  </si>
  <si>
    <t>AEP Ohio</t>
  </si>
  <si>
    <t>utility; PUCO; data center coalition; consumer counsel</t>
  </si>
  <si>
    <t>Kamran Ali; Jennifer French</t>
  </si>
  <si>
    <t>protecting other customers</t>
  </si>
  <si>
    <t>grid strain; speculative load; tariff discrimination debate</t>
  </si>
  <si>
    <t>regulatory reporting</t>
  </si>
  <si>
    <t>“Actual, material differences support a separate tariff.”</t>
  </si>
  <si>
    <t>Useful comparative policy case on large-load tariffs.</t>
  </si>
  <si>
    <t>29.Ohio regulators turn down appeal, OK utility’s data center billing plan.docx</t>
  </si>
  <si>
    <t>Gas-hungry data centers: The biggest threat to the clean energy transition?</t>
  </si>
  <si>
    <t>2025-07-08</t>
  </si>
  <si>
    <t>Clean Wisconsin</t>
  </si>
  <si>
    <t>Wisconsin / U.S.</t>
  </si>
  <si>
    <t>Microsoft; hyperscalers</t>
  </si>
  <si>
    <t>Advocacy / Opinion</t>
  </si>
  <si>
    <t>climate impact</t>
  </si>
  <si>
    <t>Clean Wisconsin; PSC; utilities</t>
  </si>
  <si>
    <t>Brett Korte</t>
  </si>
  <si>
    <t>clean-energy alternatives</t>
  </si>
  <si>
    <t>gas-plant buildout; emissions</t>
  </si>
  <si>
    <t>advocacy piece</t>
  </si>
  <si>
    <t>“Data centers are quickly becoming the most significant impediment to the clean energy transition.”</t>
  </si>
  <si>
    <t>Advocacy framing linking AI growth to fossil-fuel lock-in.</t>
  </si>
  <si>
    <t>30. Gas-hungry data centers.docx</t>
  </si>
  <si>
    <t>Fort Wayne residents are getting a Google data center, but some worry about the cost</t>
  </si>
  <si>
    <t>WBOI</t>
  </si>
  <si>
    <t>Fort Wayne, IN</t>
  </si>
  <si>
    <t>Google / Hatchworks LLC</t>
  </si>
  <si>
    <t>residents; IDEM; city officials; Google</t>
  </si>
  <si>
    <t>Kelly Atkins; Molly Kleinman; Bryce Gustafson</t>
  </si>
  <si>
    <t>tax revenue; grants; investment</t>
  </si>
  <si>
    <t>diesel generators; wetlands; fossil-fuel dependence</t>
  </si>
  <si>
    <t>“Deny, deny, deny.”</t>
  </si>
  <si>
    <t>Shows opposition intensifying after project already advanced.</t>
  </si>
  <si>
    <t>31. Fort Wayne residents are getting a Google data center, but some worry about the cost.docx</t>
  </si>
  <si>
    <t>Does Wisconsin have laws regulating data centers? What to know about the latest projects, environmental concerns</t>
  </si>
  <si>
    <t>2025-11-13</t>
  </si>
  <si>
    <t>Microsoft; Meta; QTS; Vantage</t>
  </si>
  <si>
    <t>regulatory gap</t>
  </si>
  <si>
    <t>lawmakers; environmental groups; utilities</t>
  </si>
  <si>
    <t>Jodi Habush Sinykin; Brendan Conway</t>
  </si>
  <si>
    <t>jobs; tax incentives</t>
  </si>
  <si>
    <t>water and energy use; lack of rules</t>
  </si>
  <si>
    <t>“There is currently little to no regulation in place...”</t>
  </si>
  <si>
    <t>Statewide explainer on statutes, projects, and controversies.</t>
  </si>
  <si>
    <t>32. Does Wisconsin have laws regulating data centers.docx</t>
  </si>
  <si>
    <t>Proposed transmission line for a Wisconsin data center meets public opposition</t>
  </si>
  <si>
    <t>2025-10-23</t>
  </si>
  <si>
    <t>Vantage; OpenAI; Oracle; ATC</t>
  </si>
  <si>
    <t>residents; PSC; ATC; mayor</t>
  </si>
  <si>
    <t>Beth Csaszar; Tom Uttech; Ted Neitzke; Tom Content</t>
  </si>
  <si>
    <t>lower property values; wildlife disruption; transmission corridors</t>
  </si>
  <si>
    <t>“Nobody had any idea the implications for the neighboring communities.”</t>
  </si>
  <si>
    <t>Captures spillover conflict from grid infrastructure.</t>
  </si>
  <si>
    <t>33. Proposed transmission line for a Wisconsin.docx</t>
  </si>
  <si>
    <t>AI data centers in Wisconsin will use more energy than all homes in state combined</t>
  </si>
  <si>
    <t>2025-09-16</t>
  </si>
  <si>
    <t>Press release</t>
  </si>
  <si>
    <t>Clean Wisconsin; utilities; developers</t>
  </si>
  <si>
    <t>Paul Mathewson; Sara Walling</t>
  </si>
  <si>
    <t>community protections if transparent</t>
  </si>
  <si>
    <t>massive energy demand; unknown water impact</t>
  </si>
  <si>
    <t>analysis / press release</t>
  </si>
  <si>
    <t>“Communities need to know what the on-site demand will be...”</t>
  </si>
  <si>
    <t>High-profile quantification of energy demand used by opponents.</t>
  </si>
  <si>
    <t>34. AI data centers in WIs will use.docx</t>
  </si>
  <si>
    <t>Data Centers Can Drive Affordability</t>
  </si>
  <si>
    <t>2026-01-06</t>
  </si>
  <si>
    <t>Newsweek</t>
  </si>
  <si>
    <t>U.S.</t>
  </si>
  <si>
    <t>Opinion</t>
  </si>
  <si>
    <t>economic opportunity</t>
  </si>
  <si>
    <t>grid modernization</t>
  </si>
  <si>
    <t>former governors; utilities; policymakers</t>
  </si>
  <si>
    <t>Doug Ducey; Jennifer Granholm</t>
  </si>
  <si>
    <t>affordability; modernization; economic growth</t>
  </si>
  <si>
    <t>higher costs if policies are poor</t>
  </si>
  <si>
    <t>opinion</t>
  </si>
  <si>
    <t>“Done right, data centers can share in grid costs and actually help lower rates.”</t>
  </si>
  <si>
    <t>Pro-data-center/opportunity framing.</t>
  </si>
  <si>
    <t>35. Data Centers Can Drive Affordability.docx</t>
  </si>
  <si>
    <t>Wisconsin cities regulating data centers as lawmakers consider statewide rules</t>
  </si>
  <si>
    <t>2026-01-07</t>
  </si>
  <si>
    <t>Balloonist; QTS</t>
  </si>
  <si>
    <t>local regulation</t>
  </si>
  <si>
    <t>city councils; lawmakers; residents</t>
  </si>
  <si>
    <t>Matthew Crowe; Cody Gentz</t>
  </si>
  <si>
    <t>responsible development</t>
  </si>
  <si>
    <t>light/noise pollution; water usage; opaque development</t>
  </si>
  <si>
    <t>“Menomonie is open for business, but we want responsible and transparent development.”</t>
  </si>
  <si>
    <t>Links local zoning with state-level bills.</t>
  </si>
  <si>
    <t>36. Wisconsin cities regulating data centers as lawmakers consider statewide rules.docx</t>
  </si>
  <si>
    <t>Electricity demand in Wisconsin was declining until data centers arrived</t>
  </si>
  <si>
    <t>Wisconsin Policy Forum; utilities; policymakers</t>
  </si>
  <si>
    <t>Tyler Byrnes</t>
  </si>
  <si>
    <t>new utility sales; possible help for fixed costs</t>
  </si>
  <si>
    <t>higher peak demand; uncertain bill allocation; transparency gaps</t>
  </si>
  <si>
    <t>policy forum coverage</t>
  </si>
  <si>
    <t>“Utilities must now figure out how to generate gigawatts of additional energy.”</t>
  </si>
  <si>
    <t>Nonpartisan report framed as major shift in utility landscape.</t>
  </si>
  <si>
    <t>37. Electricity Demand Rising After DCs Arrive (WI Policy Forum.docx</t>
  </si>
  <si>
    <t>Michigan passes tax breaks to attract data center jobs</t>
  </si>
  <si>
    <t>2025-04-23</t>
  </si>
  <si>
    <t>Michigan</t>
  </si>
  <si>
    <t>Google; Amazon; data center industry</t>
  </si>
  <si>
    <t>economic incentives</t>
  </si>
  <si>
    <t>state government; environmental council; developers</t>
  </si>
  <si>
    <t>Charlotte Jameson</t>
  </si>
  <si>
    <t>environmental impacts; corporate giveaways</t>
  </si>
  <si>
    <t>“We are at a really pivotal moment right now.”</t>
  </si>
  <si>
    <t>Early-stage state incentive debate with cautionary tone.</t>
  </si>
  <si>
    <t>38. Michigan passes tax breaks to attract data center jobs.docx</t>
  </si>
  <si>
    <t>Indiana is getting $15 billion in Big Tech investment. Residents don't want to foot the energy bill.</t>
  </si>
  <si>
    <t>2025-03-04</t>
  </si>
  <si>
    <t>Business Insider / Reuters Connect</t>
  </si>
  <si>
    <t>Indiana</t>
  </si>
  <si>
    <t>Amazon; Microsoft; Google</t>
  </si>
  <si>
    <t>lawmakers; utilities; consumer advocates; trade groups</t>
  </si>
  <si>
    <t>Ed Soliday; Ben Inskeep</t>
  </si>
  <si>
    <t>investment; jobs</t>
  </si>
  <si>
    <t>higher bills; cost shifting; fossil-fuel dependence</t>
  </si>
  <si>
    <t>“Grandma down the street shouldn't have to pay for your dreams.”</t>
  </si>
  <si>
    <t>Strong cost-allocation frame in Indiana politics.</t>
  </si>
  <si>
    <t>39. Indiana is getting $15 billion in Big Tech investment.docx</t>
  </si>
  <si>
    <t>Data center boom follows decades of declining electricity and water use in Wisconsin</t>
  </si>
  <si>
    <t>Wisconsin Policy Forum; local governments; utilities</t>
  </si>
  <si>
    <t>possible help for water-utility fixed costs</t>
  </si>
  <si>
    <t>expensive utility upgrades; fairness in cost distribution</t>
  </si>
  <si>
    <t>“A drop in the bucket”</t>
  </si>
  <si>
    <t>Counterbalances alarmism with system-level historical context.</t>
  </si>
  <si>
    <t>40. Data center boom follows decades of declining electricity and water use in Wisconsin.docx</t>
  </si>
  <si>
    <t>How would an AI ‘bubble’ impact Wisconsin communities hosting data centers?</t>
  </si>
  <si>
    <t>Microsoft; Meta; We Energies; Alliant</t>
  </si>
  <si>
    <t>consumer watchdogs; tech analyst; utilities</t>
  </si>
  <si>
    <t>Tom Content; Dan Gallagher</t>
  </si>
  <si>
    <t>responsible long-term investment</t>
  </si>
  <si>
    <t>stranded assets; exit risk; consumer exposure</t>
  </si>
  <si>
    <t>reported analysis</t>
  </si>
  <si>
    <t>“We need to make sure that there are sufficient guarantees...”</t>
  </si>
  <si>
    <t>Focus on downside risk if AI demand falls short.</t>
  </si>
  <si>
    <t>41. How would an AI ‘bubble’ impact Wisconsin communities hosting data.docx</t>
  </si>
  <si>
    <t>Caledonia’s Microsoft rejection – the other side of the story</t>
  </si>
  <si>
    <t>2025-11-02</t>
  </si>
  <si>
    <t>BizTimes</t>
  </si>
  <si>
    <t>withdrawal</t>
  </si>
  <si>
    <t>resident opposition group</t>
  </si>
  <si>
    <t>Prescott Balch</t>
  </si>
  <si>
    <t>tax revenue questioned; reuse concerns</t>
  </si>
  <si>
    <t>obsolescence; low jobs; property impacts</t>
  </si>
  <si>
    <t>“Data centers are purpose-built, not general purpose.”</t>
  </si>
  <si>
    <t>Detailed anti-project argument about lifespan and fiscal concentration.</t>
  </si>
  <si>
    <t>42. Caledonia’s Microsoft rejection – the other side of the story.docx</t>
  </si>
  <si>
    <t>Stop unchecked data center development</t>
  </si>
  <si>
    <t>2026-01-01</t>
  </si>
  <si>
    <t>Action alert</t>
  </si>
  <si>
    <t>environmental conflict</t>
  </si>
  <si>
    <t>advocates; state leaders; local leaders</t>
  </si>
  <si>
    <t>none</t>
  </si>
  <si>
    <t>pause for planning; safeguards</t>
  </si>
  <si>
    <t>energy bills; air quality; water; land; climate</t>
  </si>
  <si>
    <t>advocacy petition</t>
  </si>
  <si>
    <t>“Now is the time to stop the secrecy...”</t>
  </si>
  <si>
    <t>Moratorium-oriented advocacy framing.</t>
  </si>
  <si>
    <t>43. Stop unchecked data center development (Action Alert).docx</t>
  </si>
  <si>
    <t>Republican legislators meet at UW-Green Bay to discuss future of data centers in Wisconsin</t>
  </si>
  <si>
    <t>2026-01-12</t>
  </si>
  <si>
    <t>FOX11 News</t>
  </si>
  <si>
    <t>Wisconsin / Green Bay</t>
  </si>
  <si>
    <t>Wisconsin Legislature</t>
  </si>
  <si>
    <t>regulation</t>
  </si>
  <si>
    <t>Republican and Democratic lawmakers; advocacy groups</t>
  </si>
  <si>
    <t>Shae Sortwell; Elijah Behnke; Amaad Rivera-Wagner</t>
  </si>
  <si>
    <t>responsible development; ratepayer protection</t>
  </si>
  <si>
    <t>higher bills; water use; farmland loss</t>
  </si>
  <si>
    <t>“None of us want a rate increase.”</t>
  </si>
  <si>
    <t>Covers GOP bill and competing views on renewable restrictions.</t>
  </si>
  <si>
    <t>45. Republican legislators meet at UW.docx</t>
  </si>
  <si>
    <t>Environmental group sues Racine to release expected water use at Microsoft data center</t>
  </si>
  <si>
    <t>2025-09-15</t>
  </si>
  <si>
    <t>litigation</t>
  </si>
  <si>
    <t>water rights</t>
  </si>
  <si>
    <t>Midwest Environmental Advocates; Milwaukee Riverkeeper; City of Racine</t>
  </si>
  <si>
    <t>Cheryl Nenn</t>
  </si>
  <si>
    <t>open government; environmental assessment</t>
  </si>
  <si>
    <t>undisclosed water use; Great Lakes impacts</t>
  </si>
  <si>
    <t>legal reporting</t>
  </si>
  <si>
    <t>“Our ability to understand the impacts ... depends on open and transparent government.”</t>
  </si>
  <si>
    <t>Records lawsuit as new phase of water-rights controversy.</t>
  </si>
  <si>
    <t>46. Environmental group sues Racine to release expected water use at Microsoft data center.docx</t>
  </si>
  <si>
    <t>Company drops Greenleaf AI data center proposal</t>
  </si>
  <si>
    <t>WBAY</t>
  </si>
  <si>
    <t>Greenleaf, WI</t>
  </si>
  <si>
    <t>Cloverleaf Infrastructure</t>
  </si>
  <si>
    <t>residents; village board; developer</t>
  </si>
  <si>
    <t>Bonnie Crossman; Dave Vandevoort; Julie Carter</t>
  </si>
  <si>
    <t>relief for community</t>
  </si>
  <si>
    <t>costs; water use; roads; property values</t>
  </si>
  <si>
    <t>public meeting coverage</t>
  </si>
  <si>
    <t>“We’re not ready for this.”</t>
  </si>
  <si>
    <t>Withdrawal framed as victory for organized local resistance.</t>
  </si>
  <si>
    <t>47. Company drops Greenleaf AI data center proposal.docx</t>
  </si>
  <si>
    <t>Neighbor who helped stop a data center in Caledonia now advising people nationwide</t>
  </si>
  <si>
    <t>2026-01-13</t>
  </si>
  <si>
    <t>Caledonia, WI / national</t>
  </si>
  <si>
    <t>Microsoft (withdrawn)</t>
  </si>
  <si>
    <t>community activism</t>
  </si>
  <si>
    <t>governance oversight</t>
  </si>
  <si>
    <t>residents; community leaders nationwide</t>
  </si>
  <si>
    <t>Prescott Balch; Jodi Fulton</t>
  </si>
  <si>
    <t>stronger oversight; thoughtful siting</t>
  </si>
  <si>
    <t>limited jobs; reuse risk; environmental impacts</t>
  </si>
  <si>
    <t>feature</t>
  </si>
  <si>
    <t>“Our country needs data centers... Wise municipal planning dictates...”</t>
  </si>
  <si>
    <t>Profiles activist knowledge transfer across communities.</t>
  </si>
  <si>
    <t>48. Neighbor who helped stop a data center in Caledonia now advising people na¬tionwide.docx</t>
  </si>
  <si>
    <t>DOA opposes annexation of land where QTS DeForest data center is proposed</t>
  </si>
  <si>
    <t>2026-01-31</t>
  </si>
  <si>
    <t>Channel3000</t>
  </si>
  <si>
    <t>DeForest / Vienna, WI</t>
  </si>
  <si>
    <t>QTS</t>
  </si>
  <si>
    <t>annexation</t>
  </si>
  <si>
    <t>Department of Administration; village board; QTS</t>
  </si>
  <si>
    <t>DOA statement</t>
  </si>
  <si>
    <t>potential assessed value; jobs</t>
  </si>
  <si>
    <t>service capacity; annexation not in public interest</t>
  </si>
  <si>
    <t>government reporting</t>
  </si>
  <si>
    <t>“Not in the public's best interest.”</t>
  </si>
  <si>
    <t>State administrative pushback on annexation feasibility.</t>
  </si>
  <si>
    <t>49. DOA opposes annexation of land where QTS DeForest data center is proposed.docx</t>
  </si>
  <si>
    <t>Data Center Project Cancellations Quadrupled in 2025 as Locals Fight Back</t>
  </si>
  <si>
    <t>Gizmodo</t>
  </si>
  <si>
    <t>researchers; local activists; tech firms</t>
  </si>
  <si>
    <t>Peter Freed</t>
  </si>
  <si>
    <t>advocacy success</t>
  </si>
  <si>
    <t>water use; energy prices; air pollution</t>
  </si>
  <si>
    <t>reported synthesis</t>
  </si>
  <si>
    <t>“Water use was the biggest reason for local opposition.”</t>
  </si>
  <si>
    <t>National pattern piece on rising cancellations.</t>
  </si>
  <si>
    <t>50. Data Center Project Cancellations Quadrupled in 2025.docx</t>
  </si>
  <si>
    <t>Disputes over clean energy may doom Wisconsin data center bills</t>
  </si>
  <si>
    <t>2026-01-16</t>
  </si>
  <si>
    <t>political conflict</t>
  </si>
  <si>
    <t>lawmakers; consumer advocates; clean-energy advocates</t>
  </si>
  <si>
    <t>Robin Vos; Beata Wierzba; Tom Content</t>
  </si>
  <si>
    <t>statewide protections; standardization</t>
  </si>
  <si>
    <t>legislative deadlock; fossil-fuel reliance</t>
  </si>
  <si>
    <t>policy reporting</t>
  </si>
  <si>
    <t>“If we could combine the two and make it a better bill, that would be ideal.”</t>
  </si>
  <si>
    <t>Explains why dueling bills may both fail.</t>
  </si>
  <si>
    <t>51. Disputes over clean energy may doom Wisconsin data center bills.docx</t>
  </si>
  <si>
    <t>Data Centers Plan to Reduce Reliance on Grid Finds Bloom Energy’s 2026 Power Report</t>
  </si>
  <si>
    <t>2026-01-20</t>
  </si>
  <si>
    <t>Business Wire</t>
  </si>
  <si>
    <t>Bloom Energy / data center developers</t>
  </si>
  <si>
    <t>industry trend</t>
  </si>
  <si>
    <t>energy infrastructure</t>
  </si>
  <si>
    <t>technological optimism</t>
  </si>
  <si>
    <t>developers; utilities; GPU service providers</t>
  </si>
  <si>
    <t>Natalie Sunderland</t>
  </si>
  <si>
    <t>onsite power; faster development</t>
  </si>
  <si>
    <t>grid delays; regional inequality</t>
  </si>
  <si>
    <t>press release</t>
  </si>
  <si>
    <t>“One-third of data centers in 2030 will use 100% onsite power.”</t>
  </si>
  <si>
    <t>Industry-forward framing of off-grid solutions; treat cautiously.</t>
  </si>
  <si>
    <t>52. Data Centers Plan to Reduce Reliance on Grid Finds Bloom Energy’s 2026 Power Report.docx</t>
  </si>
  <si>
    <t>Data Centers Lift Construction Outlook, but Economic Worries Grow</t>
  </si>
  <si>
    <t>Construction trade press</t>
  </si>
  <si>
    <t>Construction sector</t>
  </si>
  <si>
    <t>economic risk</t>
  </si>
  <si>
    <t>contractors; AGC; Sage</t>
  </si>
  <si>
    <t>Jeffrey Shoaf; Kyle Van Slyke</t>
  </si>
  <si>
    <t>strong demand; ancillary growth</t>
  </si>
  <si>
    <t>recession; labor shortages; overreliance on one sector</t>
  </si>
  <si>
    <t>industry survey</t>
  </si>
  <si>
    <t>“We got to make sure that we don't live and die by the data center.”</t>
  </si>
  <si>
    <t>Construction-sector view of boom with caution on macro risks.</t>
  </si>
  <si>
    <t>53. Data Centers Lift Construction Outlook, but Economic Worries Grow.docx</t>
  </si>
  <si>
    <t>Microsoft wants to build 15 more data centers in Mount Pleasant</t>
  </si>
  <si>
    <t>Microsoft; planning commission; village officials</t>
  </si>
  <si>
    <t>Danielle Kaeding reporting; Brad Smith quote</t>
  </si>
  <si>
    <t>tax revenue; local revenues</t>
  </si>
  <si>
    <t>energy use unknown; water scrutiny; traffic</t>
  </si>
  <si>
    <t>“We want to pay a higher price so that our data center does not increase the price of electricity for consumers.”</t>
  </si>
  <si>
    <t>Major expansion story with cost-allocation assurances.</t>
  </si>
  <si>
    <t>54.Microsoft wants to build 15 more data centers in Mount Pleasant.docx</t>
  </si>
  <si>
    <t>Wisconsin data centers; Assembly passes bill to place restrictions</t>
  </si>
  <si>
    <t>Wisconsin Legislature; Microsoft</t>
  </si>
  <si>
    <t>lawmakers; PSC; utilities</t>
  </si>
  <si>
    <t>Shannon Zimmerman; Greta Neubauer</t>
  </si>
  <si>
    <t>water reporting; ratepayer protection</t>
  </si>
  <si>
    <t>implementation difficulty; legal confusion</t>
  </si>
  <si>
    <t>“The Assembly passed the bill 53–44.”</t>
  </si>
  <si>
    <t>Tracks GOP bill after Assembly passage.</t>
  </si>
  <si>
    <t>55. Wisconsin data centers.docx</t>
  </si>
  <si>
    <t>At least four Wisconsin communities signed secrecy deals for billion-dollar data centers</t>
  </si>
  <si>
    <t>2026-01-26</t>
  </si>
  <si>
    <t>Wisconsin Watch</t>
  </si>
  <si>
    <t>Meta; Microsoft; Viridian; QTS</t>
  </si>
  <si>
    <t>local governments; residents; Wisconsin Data Center Coalition</t>
  </si>
  <si>
    <t>Prescott Balch; Trent Campbell; Tricia Braun</t>
  </si>
  <si>
    <t>due diligence before disclosure (industry view)</t>
  </si>
  <si>
    <t>NDAs; delayed public notice; secrecy</t>
  </si>
  <si>
    <t>investigative reporting</t>
  </si>
  <si>
    <t>“Even if it makes it harder, that’s the right way to do it.”</t>
  </si>
  <si>
    <t>Major investigative synthesis of NDAs across Wisconsin.</t>
  </si>
  <si>
    <t>56. At least four Wisconsin communities signed secrecy deals for billion.docx</t>
  </si>
  <si>
    <t>Wisconsin PSC hearing public input on data center energy rates, Microsoft says it will ‘pay its own way’</t>
  </si>
  <si>
    <t>2026-02-10</t>
  </si>
  <si>
    <t>Racine County Eye / WRJN</t>
  </si>
  <si>
    <t>Microsoft; PSC</t>
  </si>
  <si>
    <t>PSC; advocacy groups; Microsoft; residents</t>
  </si>
  <si>
    <t>Bobby Hollis</t>
  </si>
  <si>
    <t>special rate class; resident participation</t>
  </si>
  <si>
    <t>ratepayer exposure; infrastructure cost shifting</t>
  </si>
  <si>
    <t>“Microsoft ... supports the creation of a special rate class for large customers.”</t>
  </si>
  <si>
    <t>Hearing-focused update on tariff design.</t>
  </si>
  <si>
    <t>57. Wisconsin PSC hearing public input.docx</t>
  </si>
  <si>
    <t>Wisconsin couple has near-constant layer of dust from data center construction</t>
  </si>
  <si>
    <t>WISN</t>
  </si>
  <si>
    <t>Vantage / OpenAI / Oracle</t>
  </si>
  <si>
    <t>local environmental impact</t>
  </si>
  <si>
    <t>community nuisance</t>
  </si>
  <si>
    <t>resident; developer; DNR</t>
  </si>
  <si>
    <t>Mary Deheck</t>
  </si>
  <si>
    <t>dust; noise; health concerns; extra household costs</t>
  </si>
  <si>
    <t>“It's blowing in the windows, blowing in every crack and crevice.”</t>
  </si>
  <si>
    <t>Captures immediate lived impacts of construction stage.</t>
  </si>
  <si>
    <t>58. Wisconsin couple has near.docx</t>
  </si>
  <si>
    <t>New bill would ban nondisclosure agreements for new Wisconsin data centers</t>
  </si>
  <si>
    <t>2026-02-19</t>
  </si>
  <si>
    <t>governance reform</t>
  </si>
  <si>
    <t>lawmakers; industry groups; constituents</t>
  </si>
  <si>
    <t>Clint Moses; André Jacque</t>
  </si>
  <si>
    <t>public notice; informed decision-making</t>
  </si>
  <si>
    <t>lack of public information; gag orders</t>
  </si>
  <si>
    <t>“If your strategy is to say you can’t talk about something ... that’s not a development strategy. It’s a gag order.”</t>
  </si>
  <si>
    <t>Tracks proposed NDA ban and opposition from industry groups.</t>
  </si>
  <si>
    <t>59. New bill would ban nondisclosure agreements.docx</t>
  </si>
  <si>
    <t>A 600-acre AI data center could cost some Wisconsin residents their land</t>
  </si>
  <si>
    <t>2026-02-18</t>
  </si>
  <si>
    <t>ABC News</t>
  </si>
  <si>
    <t>Port Washington / Saukville, WI</t>
  </si>
  <si>
    <t>land rights conflict</t>
  </si>
  <si>
    <t>residents; mayor; industry group; ATC; WILL</t>
  </si>
  <si>
    <t>Tom Uttech; Ted Neitzke; Ari Peskoe</t>
  </si>
  <si>
    <t>jobs; tax base; long-term investment</t>
  </si>
  <si>
    <t>eminent domain; transmission lines; higher bills</t>
  </si>
  <si>
    <t>“They brought the fight to me and I'm not going to just roll over.”</t>
  </si>
  <si>
    <t>National feature on eminent domain and anti-AI activism in Port Washington.</t>
  </si>
  <si>
    <t>60. A 600-acre AI data center could cost some Wisconsin residents t.docx</t>
  </si>
  <si>
    <t>Port Washington city statement on data center process and open meetings compliance</t>
  </si>
  <si>
    <t>City of Port Washington</t>
  </si>
  <si>
    <t>Vantage / City of Port Washington</t>
  </si>
  <si>
    <t>Statement</t>
  </si>
  <si>
    <t>governance dispute</t>
  </si>
  <si>
    <t>transparency claims</t>
  </si>
  <si>
    <t>city officials; complainants</t>
  </si>
  <si>
    <t>Mayor Ted Neitzke (via city statement)</t>
  </si>
  <si>
    <t>public communication; compliance claims</t>
  </si>
  <si>
    <t>open meetings allegations; public trust</t>
  </si>
  <si>
    <t>official statement</t>
  </si>
  <si>
    <t>“The City has been in compliance with all open meetings requirements...”</t>
  </si>
  <si>
    <t>Official rebuttal to activist complaint; useful for coding governance claims.</t>
  </si>
  <si>
    <t>61-Port Washington.pdf</t>
  </si>
  <si>
    <t>A 600-acre AI data center could cost some Wisconsin residents their land (duplicate file copy)</t>
  </si>
  <si>
    <t>infrastructure expansion</t>
  </si>
  <si>
    <t>residents; mayor; ATC; WILL</t>
  </si>
  <si>
    <t>Tom Uttech; Ted Neitzke</t>
  </si>
  <si>
    <t>jobs; tax base</t>
  </si>
  <si>
    <t>eminent domain; transmission lines; grid costs</t>
  </si>
  <si>
    <t>“The use of eminent domain power must be the absolute last resort...”</t>
  </si>
  <si>
    <t>Duplicate file copy retained as separate uploaded item in source set.</t>
  </si>
  <si>
    <t>62. A 600-acre AI data center could cost some Wisconsin residents their land.docx</t>
  </si>
  <si>
    <t>Port Washington data center, group claims open meetings violations</t>
  </si>
  <si>
    <t>Vantage / Great Lakes Neighbors United</t>
  </si>
  <si>
    <t>grassroots group; city officials; district attorney</t>
  </si>
  <si>
    <t>Great Lakes Neighbors United statement; city statement</t>
  </si>
  <si>
    <t>public oversight</t>
  </si>
  <si>
    <t>closed-session deliberations; legal compliance dispute</t>
  </si>
  <si>
    <t>“The city has since denied [the] assertion.”</t>
  </si>
  <si>
    <t>Open-meetings complaint framed as another front in Port Washington conflict.</t>
  </si>
  <si>
    <t>62. Port Washington data center.docx</t>
  </si>
  <si>
    <t>At least four Wisconsin communities signed secrecy deals for billion-dollar data centers (WPR republication)</t>
  </si>
  <si>
    <t>Wisconsin Public Radio / Wisconsin Watch</t>
  </si>
  <si>
    <t>local governments; residents; data center coalition</t>
  </si>
  <si>
    <t>Prescott Balch; Trent Campbell</t>
  </si>
  <si>
    <t>early due diligence before disclosure</t>
  </si>
  <si>
    <t>“The earlier the better.”</t>
  </si>
  <si>
    <t>Republication of Wisconsin Watch investigation; kept as separate media item in set.</t>
  </si>
  <si>
    <t>63. At least 4 Wisconsin communities signed secrecy deals for billion.docx</t>
  </si>
  <si>
    <t>Data centers threaten Wisconsin's rural charm, residents say</t>
  </si>
  <si>
    <t>The Cap Times</t>
  </si>
  <si>
    <t>community identity</t>
  </si>
  <si>
    <t>residents; village officials; farmers; unions; Clean Wisconsin</t>
  </si>
  <si>
    <t>Shawn Haney; Trish Boehlke; Nancy Roth; Bill Chang</t>
  </si>
  <si>
    <t>jobs; community investment</t>
  </si>
  <si>
    <t>farmland conversion; water and electricity use; noise/light; identity loss</t>
  </si>
  <si>
    <t>“We’re not going to be a farming community anymore. We’re going to be a data center community.”</t>
  </si>
  <si>
    <t>Rich narrative on rural identity, annexation, and social cohesion.</t>
  </si>
  <si>
    <t>64. Data centers threaten Wisconsin Rural.docx</t>
  </si>
  <si>
    <t>upload_order</t>
  </si>
  <si>
    <t>included_in_coded_cases</t>
  </si>
  <si>
    <t>case_id_in_coded_cases</t>
  </si>
  <si>
    <t>notes</t>
  </si>
  <si>
    <t>Uploaded duplicate preserved as separate item.</t>
  </si>
  <si>
    <t>A quick README.docx</t>
  </si>
  <si>
    <t>Method note / codebook; not coded as a media case.</t>
  </si>
  <si>
    <t>section</t>
  </si>
  <si>
    <t>code</t>
  </si>
  <si>
    <t>description</t>
  </si>
  <si>
    <t>A. Perception &amp; Impact</t>
  </si>
  <si>
    <t>Water Stress / Consumption</t>
  </si>
  <si>
    <t>Groundwater depletion, drinking-water risk, Great Lakes or cooling-water use</t>
  </si>
  <si>
    <t>Water Governance &amp; Rights</t>
  </si>
  <si>
    <t>Public trust doctrine, basin rules, disclosure on withdrawals</t>
  </si>
  <si>
    <t>Energy Demand &amp; Grid Stress</t>
  </si>
  <si>
    <t>Load growth, reliability concerns, ratepayer cost shifting</t>
  </si>
  <si>
    <t>Energy Source &amp; Fuel Mix</t>
  </si>
  <si>
    <t>Gas plants, renewables integration, onsite power</t>
  </si>
  <si>
    <t>Land Use &amp; Zoning Conflict</t>
  </si>
  <si>
    <t>Farmland conversion, rezoning, annexation, future land flexibility</t>
  </si>
  <si>
    <t>Community Character &amp; Place Identity</t>
  </si>
  <si>
    <t>Rural charm, scale mismatch, loss of place</t>
  </si>
  <si>
    <t>B. Social &amp; Equity</t>
  </si>
  <si>
    <t>Equity &amp; Environmental Justice</t>
  </si>
  <si>
    <t>Disproportionate burden or exposure on households/communities</t>
  </si>
  <si>
    <t>Distributional Impacts</t>
  </si>
  <si>
    <t>Who bears costs versus who gets benefits</t>
  </si>
  <si>
    <t>Social License to Operate</t>
  </si>
  <si>
    <t>Community acceptance and perceived legitimacy</t>
  </si>
  <si>
    <t>C. Governance, Trust &amp; Process</t>
  </si>
  <si>
    <t>Transparency &amp; Disclosure</t>
  </si>
  <si>
    <t>Public records, NDAs, reporting requirements</t>
  </si>
  <si>
    <t>Trust Deficit</t>
  </si>
  <si>
    <t>Secrecy, broken promises, information asymmetry</t>
  </si>
  <si>
    <t>Regulatory Adequacy</t>
  </si>
  <si>
    <t>Gaps in law, outdated permitting, reactive regulation</t>
  </si>
  <si>
    <t>Public Participation</t>
  </si>
  <si>
    <t>Meaningful engagement, timing of consultation, exclusion</t>
  </si>
  <si>
    <t>D. Economic Framing</t>
  </si>
  <si>
    <t>Economic Benefits</t>
  </si>
  <si>
    <t>Jobs, tax base, investment attraction</t>
  </si>
  <si>
    <t>Economic Tradeoffs &amp; Risks</t>
  </si>
  <si>
    <t>Infrastructure costs, limited jobs, fiscal risk</t>
  </si>
  <si>
    <t>Opportunity Cost</t>
  </si>
  <si>
    <t>Foregone alternative land uses, lock-in</t>
  </si>
  <si>
    <t>E. Technology &amp; Narrative</t>
  </si>
  <si>
    <t>Greenwashing / Climate Hypocrisy</t>
  </si>
  <si>
    <t>Waterless or carbon-neutral claims, offsets, selective disclosure</t>
  </si>
  <si>
    <t>Technological Optimism</t>
  </si>
  <si>
    <t>Faith in efficiency gains or future tech fixes</t>
  </si>
  <si>
    <t>Technological Uncertainty</t>
  </si>
  <si>
    <t>Obsolescence risk, lifespan, AI demand uncertainty</t>
  </si>
  <si>
    <t>F. Tone &amp; Conflict</t>
  </si>
  <si>
    <t>Overall Stance</t>
  </si>
  <si>
    <t>Supportive, neutral/conditional, or opposed</t>
  </si>
  <si>
    <t>Conflict Escalation Level</t>
  </si>
  <si>
    <t>Awareness, organized opposition, policy intervention, litigation/moratorium</t>
  </si>
  <si>
    <t>G. Actors &amp; Power</t>
  </si>
  <si>
    <t>Actors</t>
  </si>
  <si>
    <t>Residents, local governments, utilities, developers, NGOs, regulators, investors</t>
  </si>
  <si>
    <t>H. Evidence &amp; Rhetoric</t>
  </si>
  <si>
    <t>Quantitative Evidence</t>
  </si>
  <si>
    <t>Water volumes, energy loads, fiscal figures</t>
  </si>
  <si>
    <t>Anecdotes &amp; Quotes</t>
  </si>
  <si>
    <t>Resident testimony, expert warnings</t>
  </si>
  <si>
    <t>Comparative Framing</t>
  </si>
  <si>
    <t>‘Like a small city’; cross-regional comparisons</t>
  </si>
  <si>
    <t>Clean media content-analysis workbook for the uploaded data-center source set</t>
  </si>
  <si>
    <t>Workbook contents</t>
  </si>
  <si>
    <t>• Coded_Cases: 63 coded media cases based on uploaded article/report files.</t>
  </si>
  <si>
    <t>• Uploads_Index: all 64 uploaded items in this set, including the README note.</t>
  </si>
  <si>
    <t>• Codebook: condensed coding framework adapted from the uploaded README.</t>
  </si>
  <si>
    <t>Important note</t>
  </si>
  <si>
    <t>The uploaded set contains 63 case documents plus 1 README/method note. To stay faithful to the uploaded materials, the coded cases sheet includes 63 case rows, while the Uploads_Index sheet tracks all 64 uploaded items.</t>
  </si>
  <si>
    <t>Primary conflict frame counts</t>
  </si>
  <si>
    <t>Column</t>
  </si>
  <si>
    <t>Meaning</t>
  </si>
  <si>
    <t>Type</t>
  </si>
  <si>
    <t>case/article id</t>
  </si>
  <si>
    <t>integer</t>
  </si>
  <si>
    <t>title of article</t>
  </si>
  <si>
    <t>text</t>
  </si>
  <si>
    <t>publication date</t>
  </si>
  <si>
    <t>media outlet</t>
  </si>
  <si>
    <t>place mentioned</t>
  </si>
  <si>
    <t>company involved</t>
  </si>
  <si>
    <t>news/feature/etc.</t>
  </si>
  <si>
    <t>proposal/conflict/policy debate/etc.</t>
  </si>
  <si>
    <t>main conflict theme</t>
  </si>
  <si>
    <t>article tone</t>
  </si>
  <si>
    <t>yes/no or coded issue</t>
  </si>
  <si>
    <t>key quote</t>
  </si>
  <si>
    <t>long text</t>
  </si>
  <si>
    <t>Port Washington / Ozaukee County</t>
  </si>
  <si>
    <t>Port Washington, WI / Saukville</t>
  </si>
  <si>
    <t>Mount Pleasant, WI/ Port Washington, WI</t>
  </si>
  <si>
    <t>Mount Pleasant, WIt / Racine, WI</t>
  </si>
  <si>
    <t>Wisconsin-only report count by company</t>
  </si>
  <si>
    <t>wisconsin_company_counts</t>
  </si>
  <si>
    <t>reports</t>
  </si>
  <si>
    <t>FROM reports</t>
  </si>
  <si>
    <t>Tone</t>
  </si>
  <si>
    <t>No</t>
  </si>
  <si>
    <t>Null</t>
  </si>
  <si>
    <t>Company</t>
  </si>
  <si>
    <t>Mo</t>
  </si>
  <si>
    <t xml:space="preserve">outlet </t>
  </si>
  <si>
    <t>no</t>
  </si>
  <si>
    <t xml:space="preserve">Project stage </t>
  </si>
  <si>
    <t xml:space="preserve">conflict </t>
  </si>
  <si>
    <t xml:space="preserve">stage of project </t>
  </si>
  <si>
    <t xml:space="preserve">heatmap </t>
  </si>
  <si>
    <t xml:space="preserve">SELECT </t>
  </si>
  <si>
    <t xml:space="preserve">    project_stage,</t>
  </si>
  <si>
    <t xml:space="preserve">    SUM(primary_conflict_frame = 'water use') AS water_use,</t>
  </si>
  <si>
    <t xml:space="preserve">    SUM(primary_conflict_frame = 'energy demand') AS energy_demand,</t>
  </si>
  <si>
    <t xml:space="preserve">    SUM(primary_conflict_frame = 'transparency') AS transparency,</t>
  </si>
  <si>
    <t xml:space="preserve">    SUM(primary_conflict_frame = 'governance') AS governance,</t>
  </si>
  <si>
    <t xml:space="preserve">    SUM(primary_conflict_frame = 'land use conflict') AS land_use</t>
  </si>
  <si>
    <t>GROUP BY project_stage</t>
  </si>
  <si>
    <t>ORDER BY project_stage;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</si>
</sst>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9FBF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topLeftCell="A2" workbookViewId="0"/>
  </sheetViews>
  <sheetFormatPr defaultRowHeight="15" x14ac:dyDescent="0.25"/>
  <cols>
    <col min="1" max="1" width="55" customWidth="1"/>
    <col min="2" max="2" width="14" customWidth="1"/>
  </cols>
  <sheetData>
    <row r="1" spans="1:2" ht="37.5" x14ac:dyDescent="0.25">
      <c r="A1" s="6" t="s">
        <v>852</v>
      </c>
      <c r="B1" s="5"/>
    </row>
    <row r="2" spans="1:2" x14ac:dyDescent="0.25">
      <c r="A2" s="5"/>
      <c r="B2" s="5"/>
    </row>
    <row r="3" spans="1:2" x14ac:dyDescent="0.25">
      <c r="A3" s="7" t="s">
        <v>853</v>
      </c>
      <c r="B3" s="5"/>
    </row>
    <row r="4" spans="1:2" ht="30" x14ac:dyDescent="0.25">
      <c r="A4" s="5" t="s">
        <v>854</v>
      </c>
      <c r="B4" s="5"/>
    </row>
    <row r="5" spans="1:2" ht="30" x14ac:dyDescent="0.25">
      <c r="A5" s="5" t="s">
        <v>855</v>
      </c>
      <c r="B5" s="5"/>
    </row>
    <row r="6" spans="1:2" ht="30" x14ac:dyDescent="0.25">
      <c r="A6" s="5" t="s">
        <v>856</v>
      </c>
      <c r="B6" s="5"/>
    </row>
    <row r="7" spans="1:2" x14ac:dyDescent="0.25">
      <c r="A7" s="5"/>
      <c r="B7" s="5"/>
    </row>
    <row r="8" spans="1:2" x14ac:dyDescent="0.25">
      <c r="A8" s="7" t="s">
        <v>857</v>
      </c>
      <c r="B8" s="5"/>
    </row>
    <row r="9" spans="1:2" ht="75" x14ac:dyDescent="0.25">
      <c r="A9" s="5" t="s">
        <v>858</v>
      </c>
      <c r="B9" s="5"/>
    </row>
    <row r="10" spans="1:2" x14ac:dyDescent="0.25">
      <c r="A10" s="5"/>
      <c r="B10" s="5"/>
    </row>
    <row r="11" spans="1:2" x14ac:dyDescent="0.25">
      <c r="A11" s="7" t="s">
        <v>859</v>
      </c>
      <c r="B11" s="5"/>
    </row>
    <row r="12" spans="1:2" x14ac:dyDescent="0.25">
      <c r="A12" s="5" t="s">
        <v>31</v>
      </c>
      <c r="B12" s="5">
        <v>8</v>
      </c>
    </row>
    <row r="13" spans="1:2" x14ac:dyDescent="0.25">
      <c r="A13" s="5" t="s">
        <v>32</v>
      </c>
      <c r="B13" s="5">
        <v>7</v>
      </c>
    </row>
    <row r="14" spans="1:2" x14ac:dyDescent="0.25">
      <c r="A14" s="5" t="s">
        <v>63</v>
      </c>
      <c r="B14" s="5">
        <v>6</v>
      </c>
    </row>
    <row r="15" spans="1:2" x14ac:dyDescent="0.25">
      <c r="A15" s="5" t="s">
        <v>79</v>
      </c>
      <c r="B15" s="5">
        <v>5</v>
      </c>
    </row>
    <row r="16" spans="1:2" x14ac:dyDescent="0.25">
      <c r="A16" s="5" t="s">
        <v>125</v>
      </c>
      <c r="B16" s="5">
        <v>5</v>
      </c>
    </row>
    <row r="17" spans="1:2" x14ac:dyDescent="0.25">
      <c r="A17" s="5" t="s">
        <v>296</v>
      </c>
      <c r="B17" s="5">
        <v>4</v>
      </c>
    </row>
    <row r="18" spans="1:2" x14ac:dyDescent="0.25">
      <c r="A18" s="5" t="s">
        <v>47</v>
      </c>
      <c r="B18" s="5">
        <v>4</v>
      </c>
    </row>
    <row r="19" spans="1:2" x14ac:dyDescent="0.25">
      <c r="A19" s="5" t="s">
        <v>189</v>
      </c>
      <c r="B19" s="5">
        <v>3</v>
      </c>
    </row>
    <row r="20" spans="1:2" x14ac:dyDescent="0.25">
      <c r="A20" s="5" t="s">
        <v>738</v>
      </c>
      <c r="B20" s="5">
        <v>2</v>
      </c>
    </row>
    <row r="21" spans="1:2" x14ac:dyDescent="0.25">
      <c r="A21" s="5" t="s">
        <v>202</v>
      </c>
      <c r="B21" s="5">
        <v>2</v>
      </c>
    </row>
    <row r="22" spans="1:2" x14ac:dyDescent="0.25">
      <c r="A22" s="5" t="s">
        <v>726</v>
      </c>
      <c r="B22" s="5">
        <v>2</v>
      </c>
    </row>
    <row r="23" spans="1:2" x14ac:dyDescent="0.25">
      <c r="A23" s="5" t="s">
        <v>553</v>
      </c>
      <c r="B23" s="5">
        <v>2</v>
      </c>
    </row>
    <row r="24" spans="1:2" x14ac:dyDescent="0.25">
      <c r="A24" s="5" t="s">
        <v>399</v>
      </c>
      <c r="B24" s="5">
        <v>1</v>
      </c>
    </row>
    <row r="25" spans="1:2" x14ac:dyDescent="0.25">
      <c r="A25" s="5" t="s">
        <v>589</v>
      </c>
      <c r="B25" s="5">
        <v>1</v>
      </c>
    </row>
    <row r="26" spans="1:2" x14ac:dyDescent="0.25">
      <c r="A26" s="5" t="s">
        <v>489</v>
      </c>
      <c r="B26" s="5">
        <v>1</v>
      </c>
    </row>
    <row r="27" spans="1:2" x14ac:dyDescent="0.25">
      <c r="A27" s="5" t="s">
        <v>455</v>
      </c>
      <c r="B27" s="5">
        <v>1</v>
      </c>
    </row>
    <row r="28" spans="1:2" x14ac:dyDescent="0.25">
      <c r="A28" s="5" t="s">
        <v>87</v>
      </c>
      <c r="B28" s="5">
        <v>1</v>
      </c>
    </row>
    <row r="29" spans="1:2" x14ac:dyDescent="0.25">
      <c r="A29" s="5" t="s">
        <v>639</v>
      </c>
      <c r="B29" s="5">
        <v>1</v>
      </c>
    </row>
    <row r="30" spans="1:2" x14ac:dyDescent="0.25">
      <c r="A30" s="5" t="s">
        <v>257</v>
      </c>
      <c r="B30" s="5">
        <v>1</v>
      </c>
    </row>
    <row r="31" spans="1:2" x14ac:dyDescent="0.25">
      <c r="A31" s="5" t="s">
        <v>539</v>
      </c>
      <c r="B31" s="5">
        <v>1</v>
      </c>
    </row>
    <row r="32" spans="1:2" x14ac:dyDescent="0.25">
      <c r="A32" s="5" t="s">
        <v>372</v>
      </c>
      <c r="B32" s="5">
        <v>1</v>
      </c>
    </row>
    <row r="33" spans="1:2" x14ac:dyDescent="0.25">
      <c r="A33" s="5" t="s">
        <v>704</v>
      </c>
      <c r="B33" s="5">
        <v>1</v>
      </c>
    </row>
    <row r="34" spans="1:2" x14ac:dyDescent="0.25">
      <c r="A34" s="5" t="s">
        <v>625</v>
      </c>
      <c r="B34" s="5">
        <v>1</v>
      </c>
    </row>
    <row r="35" spans="1:2" x14ac:dyDescent="0.25">
      <c r="A35" s="5" t="s">
        <v>350</v>
      </c>
      <c r="B35" s="5">
        <v>1</v>
      </c>
    </row>
    <row r="36" spans="1:2" x14ac:dyDescent="0.25">
      <c r="A36" s="5" t="s">
        <v>422</v>
      </c>
      <c r="B36" s="5">
        <v>1</v>
      </c>
    </row>
    <row r="37" spans="1:2" x14ac:dyDescent="0.25">
      <c r="A37" s="5"/>
      <c r="B3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B2F2-2839-45DC-A707-0BF4DDD5DF7C}">
  <dimension ref="A1:C13"/>
  <sheetViews>
    <sheetView workbookViewId="0">
      <selection activeCell="A3" sqref="A3"/>
    </sheetView>
  </sheetViews>
  <sheetFormatPr defaultRowHeight="15" x14ac:dyDescent="0.25"/>
  <cols>
    <col min="1" max="1" width="17.28515625" customWidth="1"/>
    <col min="2" max="2" width="25" customWidth="1"/>
    <col min="3" max="3" width="24.5703125" customWidth="1"/>
  </cols>
  <sheetData>
    <row r="1" spans="1:3" x14ac:dyDescent="0.25">
      <c r="A1" s="8" t="s">
        <v>860</v>
      </c>
      <c r="B1" s="8" t="s">
        <v>861</v>
      </c>
      <c r="C1" s="8" t="s">
        <v>862</v>
      </c>
    </row>
    <row r="2" spans="1:3" x14ac:dyDescent="0.25">
      <c r="A2" s="9" t="s">
        <v>0</v>
      </c>
      <c r="B2" s="9" t="s">
        <v>863</v>
      </c>
      <c r="C2" s="10" t="s">
        <v>864</v>
      </c>
    </row>
    <row r="3" spans="1:3" x14ac:dyDescent="0.25">
      <c r="A3" s="9" t="s">
        <v>1</v>
      </c>
      <c r="B3" s="9" t="s">
        <v>865</v>
      </c>
      <c r="C3" s="10" t="s">
        <v>866</v>
      </c>
    </row>
    <row r="4" spans="1:3" x14ac:dyDescent="0.25">
      <c r="A4" s="9" t="s">
        <v>2</v>
      </c>
      <c r="B4" s="9" t="s">
        <v>867</v>
      </c>
      <c r="C4" s="10" t="s">
        <v>2</v>
      </c>
    </row>
    <row r="5" spans="1:3" x14ac:dyDescent="0.25">
      <c r="A5" s="9" t="s">
        <v>3</v>
      </c>
      <c r="B5" s="9" t="s">
        <v>868</v>
      </c>
      <c r="C5" s="10" t="s">
        <v>866</v>
      </c>
    </row>
    <row r="6" spans="1:3" x14ac:dyDescent="0.25">
      <c r="A6" s="9" t="s">
        <v>4</v>
      </c>
      <c r="B6" s="9" t="s">
        <v>869</v>
      </c>
      <c r="C6" s="10" t="s">
        <v>866</v>
      </c>
    </row>
    <row r="7" spans="1:3" x14ac:dyDescent="0.25">
      <c r="A7" s="9" t="s">
        <v>5</v>
      </c>
      <c r="B7" s="9" t="s">
        <v>870</v>
      </c>
      <c r="C7" s="10" t="s">
        <v>866</v>
      </c>
    </row>
    <row r="8" spans="1:3" x14ac:dyDescent="0.25">
      <c r="A8" s="9" t="s">
        <v>6</v>
      </c>
      <c r="B8" s="9" t="s">
        <v>871</v>
      </c>
      <c r="C8" s="10" t="s">
        <v>866</v>
      </c>
    </row>
    <row r="9" spans="1:3" ht="30" x14ac:dyDescent="0.25">
      <c r="A9" s="9" t="s">
        <v>7</v>
      </c>
      <c r="B9" s="9" t="s">
        <v>872</v>
      </c>
      <c r="C9" s="10" t="s">
        <v>866</v>
      </c>
    </row>
    <row r="10" spans="1:3" ht="30" x14ac:dyDescent="0.25">
      <c r="A10" s="9" t="s">
        <v>8</v>
      </c>
      <c r="B10" s="9" t="s">
        <v>873</v>
      </c>
      <c r="C10" s="10" t="s">
        <v>866</v>
      </c>
    </row>
    <row r="11" spans="1:3" x14ac:dyDescent="0.25">
      <c r="A11" s="9" t="s">
        <v>19</v>
      </c>
      <c r="B11" s="9" t="s">
        <v>874</v>
      </c>
      <c r="C11" s="10" t="s">
        <v>866</v>
      </c>
    </row>
    <row r="12" spans="1:3" x14ac:dyDescent="0.25">
      <c r="A12" s="9" t="s">
        <v>17</v>
      </c>
      <c r="B12" s="9" t="s">
        <v>875</v>
      </c>
      <c r="C12" s="10" t="s">
        <v>866</v>
      </c>
    </row>
    <row r="13" spans="1:3" x14ac:dyDescent="0.25">
      <c r="A13" s="9" t="s">
        <v>21</v>
      </c>
      <c r="B13" s="9" t="s">
        <v>876</v>
      </c>
      <c r="C13" s="10" t="s">
        <v>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8" customWidth="1"/>
    <col min="3" max="3" width="78" customWidth="1"/>
  </cols>
  <sheetData>
    <row r="1" spans="1:3" x14ac:dyDescent="0.25">
      <c r="A1" s="1" t="s">
        <v>791</v>
      </c>
      <c r="B1" s="1" t="s">
        <v>792</v>
      </c>
      <c r="C1" s="1" t="s">
        <v>793</v>
      </c>
    </row>
    <row r="2" spans="1:3" x14ac:dyDescent="0.25">
      <c r="A2" s="2" t="s">
        <v>794</v>
      </c>
      <c r="B2" s="2" t="s">
        <v>795</v>
      </c>
      <c r="C2" s="2" t="s">
        <v>796</v>
      </c>
    </row>
    <row r="3" spans="1:3" x14ac:dyDescent="0.25">
      <c r="A3" s="5" t="s">
        <v>794</v>
      </c>
      <c r="B3" s="5" t="s">
        <v>797</v>
      </c>
      <c r="C3" s="5" t="s">
        <v>798</v>
      </c>
    </row>
    <row r="4" spans="1:3" x14ac:dyDescent="0.25">
      <c r="A4" s="2" t="s">
        <v>794</v>
      </c>
      <c r="B4" s="2" t="s">
        <v>799</v>
      </c>
      <c r="C4" s="2" t="s">
        <v>800</v>
      </c>
    </row>
    <row r="5" spans="1:3" x14ac:dyDescent="0.25">
      <c r="A5" s="5" t="s">
        <v>794</v>
      </c>
      <c r="B5" s="5" t="s">
        <v>801</v>
      </c>
      <c r="C5" s="5" t="s">
        <v>802</v>
      </c>
    </row>
    <row r="6" spans="1:3" x14ac:dyDescent="0.25">
      <c r="A6" s="2" t="s">
        <v>794</v>
      </c>
      <c r="B6" s="2" t="s">
        <v>803</v>
      </c>
      <c r="C6" s="2" t="s">
        <v>804</v>
      </c>
    </row>
    <row r="7" spans="1:3" ht="30" x14ac:dyDescent="0.25">
      <c r="A7" s="5" t="s">
        <v>794</v>
      </c>
      <c r="B7" s="5" t="s">
        <v>805</v>
      </c>
      <c r="C7" s="5" t="s">
        <v>806</v>
      </c>
    </row>
    <row r="8" spans="1:3" ht="30" x14ac:dyDescent="0.25">
      <c r="A8" s="2" t="s">
        <v>807</v>
      </c>
      <c r="B8" s="2" t="s">
        <v>808</v>
      </c>
      <c r="C8" s="2" t="s">
        <v>809</v>
      </c>
    </row>
    <row r="9" spans="1:3" x14ac:dyDescent="0.25">
      <c r="A9" s="5" t="s">
        <v>807</v>
      </c>
      <c r="B9" s="5" t="s">
        <v>810</v>
      </c>
      <c r="C9" s="5" t="s">
        <v>811</v>
      </c>
    </row>
    <row r="10" spans="1:3" x14ac:dyDescent="0.25">
      <c r="A10" s="2" t="s">
        <v>807</v>
      </c>
      <c r="B10" s="2" t="s">
        <v>812</v>
      </c>
      <c r="C10" s="2" t="s">
        <v>813</v>
      </c>
    </row>
    <row r="11" spans="1:3" ht="30" x14ac:dyDescent="0.25">
      <c r="A11" s="5" t="s">
        <v>814</v>
      </c>
      <c r="B11" s="5" t="s">
        <v>815</v>
      </c>
      <c r="C11" s="5" t="s">
        <v>816</v>
      </c>
    </row>
    <row r="12" spans="1:3" ht="30" x14ac:dyDescent="0.25">
      <c r="A12" s="2" t="s">
        <v>814</v>
      </c>
      <c r="B12" s="2" t="s">
        <v>817</v>
      </c>
      <c r="C12" s="2" t="s">
        <v>818</v>
      </c>
    </row>
    <row r="13" spans="1:3" ht="30" x14ac:dyDescent="0.25">
      <c r="A13" s="5" t="s">
        <v>814</v>
      </c>
      <c r="B13" s="5" t="s">
        <v>819</v>
      </c>
      <c r="C13" s="5" t="s">
        <v>820</v>
      </c>
    </row>
    <row r="14" spans="1:3" ht="30" x14ac:dyDescent="0.25">
      <c r="A14" s="2" t="s">
        <v>814</v>
      </c>
      <c r="B14" s="2" t="s">
        <v>821</v>
      </c>
      <c r="C14" s="2" t="s">
        <v>822</v>
      </c>
    </row>
    <row r="15" spans="1:3" x14ac:dyDescent="0.25">
      <c r="A15" s="5" t="s">
        <v>823</v>
      </c>
      <c r="B15" s="5" t="s">
        <v>824</v>
      </c>
      <c r="C15" s="5" t="s">
        <v>825</v>
      </c>
    </row>
    <row r="16" spans="1:3" x14ac:dyDescent="0.25">
      <c r="A16" s="2" t="s">
        <v>823</v>
      </c>
      <c r="B16" s="2" t="s">
        <v>826</v>
      </c>
      <c r="C16" s="2" t="s">
        <v>827</v>
      </c>
    </row>
    <row r="17" spans="1:3" x14ac:dyDescent="0.25">
      <c r="A17" s="5" t="s">
        <v>823</v>
      </c>
      <c r="B17" s="5" t="s">
        <v>828</v>
      </c>
      <c r="C17" s="5" t="s">
        <v>829</v>
      </c>
    </row>
    <row r="18" spans="1:3" ht="30" x14ac:dyDescent="0.25">
      <c r="A18" s="2" t="s">
        <v>830</v>
      </c>
      <c r="B18" s="2" t="s">
        <v>831</v>
      </c>
      <c r="C18" s="2" t="s">
        <v>832</v>
      </c>
    </row>
    <row r="19" spans="1:3" ht="30" x14ac:dyDescent="0.25">
      <c r="A19" s="5" t="s">
        <v>830</v>
      </c>
      <c r="B19" s="5" t="s">
        <v>833</v>
      </c>
      <c r="C19" s="5" t="s">
        <v>834</v>
      </c>
    </row>
    <row r="20" spans="1:3" ht="30" x14ac:dyDescent="0.25">
      <c r="A20" s="2" t="s">
        <v>830</v>
      </c>
      <c r="B20" s="2" t="s">
        <v>835</v>
      </c>
      <c r="C20" s="2" t="s">
        <v>836</v>
      </c>
    </row>
    <row r="21" spans="1:3" x14ac:dyDescent="0.25">
      <c r="A21" s="5" t="s">
        <v>837</v>
      </c>
      <c r="B21" s="5" t="s">
        <v>838</v>
      </c>
      <c r="C21" s="5" t="s">
        <v>839</v>
      </c>
    </row>
    <row r="22" spans="1:3" x14ac:dyDescent="0.25">
      <c r="A22" s="2" t="s">
        <v>837</v>
      </c>
      <c r="B22" s="2" t="s">
        <v>840</v>
      </c>
      <c r="C22" s="2" t="s">
        <v>841</v>
      </c>
    </row>
    <row r="23" spans="1:3" x14ac:dyDescent="0.25">
      <c r="A23" s="5" t="s">
        <v>842</v>
      </c>
      <c r="B23" s="5" t="s">
        <v>843</v>
      </c>
      <c r="C23" s="5" t="s">
        <v>844</v>
      </c>
    </row>
    <row r="24" spans="1:3" x14ac:dyDescent="0.25">
      <c r="A24" s="2" t="s">
        <v>845</v>
      </c>
      <c r="B24" s="2" t="s">
        <v>846</v>
      </c>
      <c r="C24" s="2" t="s">
        <v>847</v>
      </c>
    </row>
    <row r="25" spans="1:3" x14ac:dyDescent="0.25">
      <c r="A25" s="5" t="s">
        <v>845</v>
      </c>
      <c r="B25" s="5" t="s">
        <v>848</v>
      </c>
      <c r="C25" s="5" t="s">
        <v>849</v>
      </c>
    </row>
    <row r="26" spans="1:3" x14ac:dyDescent="0.25">
      <c r="A26" s="2" t="s">
        <v>845</v>
      </c>
      <c r="B26" s="2" t="s">
        <v>850</v>
      </c>
      <c r="C26" s="2" t="s">
        <v>851</v>
      </c>
    </row>
  </sheetData>
  <autoFilter ref="A1:C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pane ySplit="1" topLeftCell="A26" activePane="bottomLeft" state="frozen"/>
      <selection pane="bottomLeft" activeCell="E30" sqref="E30"/>
    </sheetView>
  </sheetViews>
  <sheetFormatPr defaultRowHeight="15" x14ac:dyDescent="0.25"/>
  <cols>
    <col min="1" max="1" width="12" customWidth="1"/>
    <col min="2" max="2" width="70" customWidth="1"/>
    <col min="3" max="4" width="18" customWidth="1"/>
    <col min="5" max="5" width="40" customWidth="1"/>
  </cols>
  <sheetData>
    <row r="1" spans="1:5" ht="30" x14ac:dyDescent="0.25">
      <c r="A1" s="1" t="s">
        <v>784</v>
      </c>
      <c r="B1" s="1" t="s">
        <v>23</v>
      </c>
      <c r="C1" s="1" t="s">
        <v>785</v>
      </c>
      <c r="D1" s="1" t="s">
        <v>786</v>
      </c>
      <c r="E1" s="1" t="s">
        <v>787</v>
      </c>
    </row>
    <row r="2" spans="1:5" ht="30" x14ac:dyDescent="0.25">
      <c r="A2" s="2">
        <v>1</v>
      </c>
      <c r="B2" s="2" t="s">
        <v>41</v>
      </c>
      <c r="C2" s="2">
        <v>1</v>
      </c>
      <c r="D2" s="2">
        <v>1</v>
      </c>
      <c r="E2" s="2"/>
    </row>
    <row r="3" spans="1:5" x14ac:dyDescent="0.25">
      <c r="A3" s="5">
        <v>2</v>
      </c>
      <c r="B3" s="5" t="s">
        <v>56</v>
      </c>
      <c r="C3" s="5">
        <v>1</v>
      </c>
      <c r="D3" s="5">
        <v>2</v>
      </c>
      <c r="E3" s="5"/>
    </row>
    <row r="4" spans="1:5" ht="30" x14ac:dyDescent="0.25">
      <c r="A4" s="2">
        <v>3</v>
      </c>
      <c r="B4" s="2" t="s">
        <v>70</v>
      </c>
      <c r="C4" s="2">
        <v>1</v>
      </c>
      <c r="D4" s="2">
        <v>3</v>
      </c>
      <c r="E4" s="2"/>
    </row>
    <row r="5" spans="1:5" x14ac:dyDescent="0.25">
      <c r="A5" s="5">
        <v>4</v>
      </c>
      <c r="B5" s="5" t="s">
        <v>84</v>
      </c>
      <c r="C5" s="5">
        <v>1</v>
      </c>
      <c r="D5" s="5">
        <v>4</v>
      </c>
      <c r="E5" s="5"/>
    </row>
    <row r="6" spans="1:5" x14ac:dyDescent="0.25">
      <c r="A6" s="2">
        <v>5</v>
      </c>
      <c r="B6" s="2" t="s">
        <v>93</v>
      </c>
      <c r="C6" s="2">
        <v>1</v>
      </c>
      <c r="D6" s="2">
        <v>5</v>
      </c>
      <c r="E6" s="2"/>
    </row>
    <row r="7" spans="1:5" x14ac:dyDescent="0.25">
      <c r="A7" s="5">
        <v>6</v>
      </c>
      <c r="B7" s="5" t="s">
        <v>107</v>
      </c>
      <c r="C7" s="5">
        <v>1</v>
      </c>
      <c r="D7" s="5">
        <v>6</v>
      </c>
      <c r="E7" s="5"/>
    </row>
    <row r="8" spans="1:5" x14ac:dyDescent="0.25">
      <c r="A8" s="2">
        <v>7</v>
      </c>
      <c r="B8" s="2" t="s">
        <v>119</v>
      </c>
      <c r="C8" s="2">
        <v>1</v>
      </c>
      <c r="D8" s="2">
        <v>7</v>
      </c>
      <c r="E8" s="2"/>
    </row>
    <row r="9" spans="1:5" x14ac:dyDescent="0.25">
      <c r="A9" s="5">
        <v>8</v>
      </c>
      <c r="B9" s="5" t="s">
        <v>133</v>
      </c>
      <c r="C9" s="5">
        <v>1</v>
      </c>
      <c r="D9" s="5">
        <v>8</v>
      </c>
      <c r="E9" s="5"/>
    </row>
    <row r="10" spans="1:5" x14ac:dyDescent="0.25">
      <c r="A10" s="2">
        <v>9</v>
      </c>
      <c r="B10" s="2" t="s">
        <v>142</v>
      </c>
      <c r="C10" s="2">
        <v>1</v>
      </c>
      <c r="D10" s="2">
        <v>9</v>
      </c>
      <c r="E10" s="2"/>
    </row>
    <row r="11" spans="1:5" x14ac:dyDescent="0.25">
      <c r="A11" s="5">
        <v>10</v>
      </c>
      <c r="B11" s="5" t="s">
        <v>156</v>
      </c>
      <c r="C11" s="5">
        <v>1</v>
      </c>
      <c r="D11" s="5">
        <v>10</v>
      </c>
      <c r="E11" s="5"/>
    </row>
    <row r="12" spans="1:5" x14ac:dyDescent="0.25">
      <c r="A12" s="2">
        <v>11</v>
      </c>
      <c r="B12" s="2" t="s">
        <v>171</v>
      </c>
      <c r="C12" s="2">
        <v>1</v>
      </c>
      <c r="D12" s="2">
        <v>11</v>
      </c>
      <c r="E12" s="2"/>
    </row>
    <row r="13" spans="1:5" ht="30" x14ac:dyDescent="0.25">
      <c r="A13" s="5">
        <v>12</v>
      </c>
      <c r="B13" s="5" t="s">
        <v>184</v>
      </c>
      <c r="C13" s="5">
        <v>1</v>
      </c>
      <c r="D13" s="5">
        <v>12</v>
      </c>
      <c r="E13" s="5"/>
    </row>
    <row r="14" spans="1:5" ht="30" x14ac:dyDescent="0.25">
      <c r="A14" s="2">
        <v>13</v>
      </c>
      <c r="B14" s="2" t="s">
        <v>197</v>
      </c>
      <c r="C14" s="2">
        <v>1</v>
      </c>
      <c r="D14" s="2">
        <v>13</v>
      </c>
      <c r="E14" s="2"/>
    </row>
    <row r="15" spans="1:5" x14ac:dyDescent="0.25">
      <c r="A15" s="5">
        <v>14</v>
      </c>
      <c r="B15" s="5" t="s">
        <v>209</v>
      </c>
      <c r="C15" s="5">
        <v>1</v>
      </c>
      <c r="D15" s="5">
        <v>14</v>
      </c>
      <c r="E15" s="5"/>
    </row>
    <row r="16" spans="1:5" x14ac:dyDescent="0.25">
      <c r="A16" s="2">
        <v>15</v>
      </c>
      <c r="B16" s="2" t="s">
        <v>225</v>
      </c>
      <c r="C16" s="2">
        <v>1</v>
      </c>
      <c r="D16" s="2">
        <v>15</v>
      </c>
      <c r="E16" s="2"/>
    </row>
    <row r="17" spans="1:5" x14ac:dyDescent="0.25">
      <c r="A17" s="5">
        <v>16</v>
      </c>
      <c r="B17" s="5" t="s">
        <v>238</v>
      </c>
      <c r="C17" s="5">
        <v>1</v>
      </c>
      <c r="D17" s="5">
        <v>16</v>
      </c>
      <c r="E17" s="5"/>
    </row>
    <row r="18" spans="1:5" x14ac:dyDescent="0.25">
      <c r="A18" s="2">
        <v>17</v>
      </c>
      <c r="B18" s="2" t="s">
        <v>251</v>
      </c>
      <c r="C18" s="2">
        <v>1</v>
      </c>
      <c r="D18" s="2">
        <v>17</v>
      </c>
      <c r="E18" s="2"/>
    </row>
    <row r="19" spans="1:5" x14ac:dyDescent="0.25">
      <c r="A19" s="5">
        <v>18</v>
      </c>
      <c r="B19" s="5" t="s">
        <v>265</v>
      </c>
      <c r="C19" s="5">
        <v>1</v>
      </c>
      <c r="D19" s="5">
        <v>18</v>
      </c>
      <c r="E19" s="5"/>
    </row>
    <row r="20" spans="1:5" x14ac:dyDescent="0.25">
      <c r="A20" s="2">
        <v>19</v>
      </c>
      <c r="B20" s="2" t="s">
        <v>277</v>
      </c>
      <c r="C20" s="2">
        <v>1</v>
      </c>
      <c r="D20" s="2">
        <v>19</v>
      </c>
      <c r="E20" s="2"/>
    </row>
    <row r="21" spans="1:5" x14ac:dyDescent="0.25">
      <c r="A21" s="5">
        <v>20</v>
      </c>
      <c r="B21" s="5" t="s">
        <v>290</v>
      </c>
      <c r="C21" s="5">
        <v>1</v>
      </c>
      <c r="D21" s="5">
        <v>20</v>
      </c>
      <c r="E21" s="5"/>
    </row>
    <row r="22" spans="1:5" x14ac:dyDescent="0.25">
      <c r="A22" s="2">
        <v>21</v>
      </c>
      <c r="B22" s="2" t="s">
        <v>304</v>
      </c>
      <c r="C22" s="2">
        <v>1</v>
      </c>
      <c r="D22" s="2">
        <v>21</v>
      </c>
      <c r="E22" s="2"/>
    </row>
    <row r="23" spans="1:5" ht="45" x14ac:dyDescent="0.25">
      <c r="A23" s="5">
        <v>22</v>
      </c>
      <c r="B23" s="5" t="s">
        <v>318</v>
      </c>
      <c r="C23" s="5">
        <v>1</v>
      </c>
      <c r="D23" s="5">
        <v>22</v>
      </c>
      <c r="E23" s="5"/>
    </row>
    <row r="24" spans="1:5" x14ac:dyDescent="0.25">
      <c r="A24" s="2">
        <v>23</v>
      </c>
      <c r="B24" s="2" t="s">
        <v>333</v>
      </c>
      <c r="C24" s="2">
        <v>1</v>
      </c>
      <c r="D24" s="2">
        <v>23</v>
      </c>
      <c r="E24" s="2"/>
    </row>
    <row r="25" spans="1:5" x14ac:dyDescent="0.25">
      <c r="A25" s="5">
        <v>24</v>
      </c>
      <c r="B25" s="5" t="s">
        <v>346</v>
      </c>
      <c r="C25" s="5">
        <v>1</v>
      </c>
      <c r="D25" s="5">
        <v>24</v>
      </c>
      <c r="E25" s="5"/>
    </row>
    <row r="26" spans="1:5" x14ac:dyDescent="0.25">
      <c r="A26" s="2">
        <v>25</v>
      </c>
      <c r="B26" s="2" t="s">
        <v>357</v>
      </c>
      <c r="C26" s="2">
        <v>1</v>
      </c>
      <c r="D26" s="2">
        <v>25</v>
      </c>
      <c r="E26" s="2"/>
    </row>
    <row r="27" spans="1:5" x14ac:dyDescent="0.25">
      <c r="A27" s="5">
        <v>26</v>
      </c>
      <c r="B27" s="5" t="s">
        <v>367</v>
      </c>
      <c r="C27" s="5">
        <v>1</v>
      </c>
      <c r="D27" s="5">
        <v>26</v>
      </c>
      <c r="E27" s="5"/>
    </row>
    <row r="28" spans="1:5" x14ac:dyDescent="0.25">
      <c r="A28" s="2">
        <v>27</v>
      </c>
      <c r="B28" s="2" t="s">
        <v>380</v>
      </c>
      <c r="C28" s="2">
        <v>1</v>
      </c>
      <c r="D28" s="2">
        <v>27</v>
      </c>
      <c r="E28" s="2"/>
    </row>
    <row r="29" spans="1:5" ht="30" x14ac:dyDescent="0.25">
      <c r="A29" s="5">
        <v>28</v>
      </c>
      <c r="B29" s="5" t="s">
        <v>392</v>
      </c>
      <c r="C29" s="5">
        <v>1</v>
      </c>
      <c r="D29" s="5">
        <v>28</v>
      </c>
      <c r="E29" s="5"/>
    </row>
    <row r="30" spans="1:5" x14ac:dyDescent="0.25">
      <c r="A30" s="2">
        <v>29</v>
      </c>
      <c r="B30" s="2" t="s">
        <v>407</v>
      </c>
      <c r="C30" s="2">
        <v>1</v>
      </c>
      <c r="D30" s="2">
        <v>29</v>
      </c>
      <c r="E30" s="2"/>
    </row>
    <row r="31" spans="1:5" ht="30" x14ac:dyDescent="0.25">
      <c r="A31" s="5">
        <v>30</v>
      </c>
      <c r="B31" s="5" t="s">
        <v>418</v>
      </c>
      <c r="C31" s="5">
        <v>1</v>
      </c>
      <c r="D31" s="5">
        <v>30</v>
      </c>
      <c r="E31" s="5"/>
    </row>
    <row r="32" spans="1:5" x14ac:dyDescent="0.25">
      <c r="A32" s="2">
        <v>31</v>
      </c>
      <c r="B32" s="2" t="s">
        <v>429</v>
      </c>
      <c r="C32" s="2">
        <v>1</v>
      </c>
      <c r="D32" s="2">
        <v>31</v>
      </c>
      <c r="E32" s="2"/>
    </row>
    <row r="33" spans="1:5" x14ac:dyDescent="0.25">
      <c r="A33" s="5">
        <v>32</v>
      </c>
      <c r="B33" s="5" t="s">
        <v>438</v>
      </c>
      <c r="C33" s="5">
        <v>1</v>
      </c>
      <c r="D33" s="5">
        <v>32</v>
      </c>
      <c r="E33" s="5"/>
    </row>
    <row r="34" spans="1:5" x14ac:dyDescent="0.25">
      <c r="A34" s="2">
        <v>33</v>
      </c>
      <c r="B34" s="2" t="s">
        <v>449</v>
      </c>
      <c r="C34" s="2">
        <v>1</v>
      </c>
      <c r="D34" s="2">
        <v>33</v>
      </c>
      <c r="E34" s="2"/>
    </row>
    <row r="35" spans="1:5" x14ac:dyDescent="0.25">
      <c r="A35" s="5">
        <v>34</v>
      </c>
      <c r="B35" s="5" t="s">
        <v>464</v>
      </c>
      <c r="C35" s="5">
        <v>1</v>
      </c>
      <c r="D35" s="5">
        <v>34</v>
      </c>
      <c r="E35" s="5"/>
    </row>
    <row r="36" spans="1:5" ht="30" x14ac:dyDescent="0.25">
      <c r="A36" s="2">
        <v>35</v>
      </c>
      <c r="B36" s="2" t="s">
        <v>475</v>
      </c>
      <c r="C36" s="2">
        <v>1</v>
      </c>
      <c r="D36" s="2">
        <v>35</v>
      </c>
      <c r="E36" s="2"/>
    </row>
    <row r="37" spans="1:5" x14ac:dyDescent="0.25">
      <c r="A37" s="5">
        <v>36</v>
      </c>
      <c r="B37" s="5" t="s">
        <v>484</v>
      </c>
      <c r="C37" s="5">
        <v>1</v>
      </c>
      <c r="D37" s="5">
        <v>36</v>
      </c>
      <c r="E37" s="5"/>
    </row>
    <row r="38" spans="1:5" x14ac:dyDescent="0.25">
      <c r="A38" s="2">
        <v>37</v>
      </c>
      <c r="B38" s="2" t="s">
        <v>495</v>
      </c>
      <c r="C38" s="2">
        <v>1</v>
      </c>
      <c r="D38" s="2">
        <v>37</v>
      </c>
      <c r="E38" s="2"/>
    </row>
    <row r="39" spans="1:5" x14ac:dyDescent="0.25">
      <c r="A39" s="5">
        <v>38</v>
      </c>
      <c r="B39" s="5" t="s">
        <v>507</v>
      </c>
      <c r="C39" s="5">
        <v>1</v>
      </c>
      <c r="D39" s="5">
        <v>38</v>
      </c>
      <c r="E39" s="5"/>
    </row>
    <row r="40" spans="1:5" ht="30" x14ac:dyDescent="0.25">
      <c r="A40" s="2">
        <v>39</v>
      </c>
      <c r="B40" s="2" t="s">
        <v>514</v>
      </c>
      <c r="C40" s="2">
        <v>1</v>
      </c>
      <c r="D40" s="2">
        <v>39</v>
      </c>
      <c r="E40" s="2"/>
    </row>
    <row r="41" spans="1:5" ht="30" x14ac:dyDescent="0.25">
      <c r="A41" s="5">
        <v>40</v>
      </c>
      <c r="B41" s="5" t="s">
        <v>524</v>
      </c>
      <c r="C41" s="5">
        <v>1</v>
      </c>
      <c r="D41" s="5">
        <v>40</v>
      </c>
      <c r="E41" s="5"/>
    </row>
    <row r="42" spans="1:5" x14ac:dyDescent="0.25">
      <c r="A42" s="2">
        <v>41</v>
      </c>
      <c r="B42" s="2" t="s">
        <v>535</v>
      </c>
      <c r="C42" s="2">
        <v>1</v>
      </c>
      <c r="D42" s="2">
        <v>41</v>
      </c>
      <c r="E42" s="2"/>
    </row>
    <row r="43" spans="1:5" x14ac:dyDescent="0.25">
      <c r="A43" s="5">
        <v>42</v>
      </c>
      <c r="B43" s="5" t="s">
        <v>547</v>
      </c>
      <c r="C43" s="5">
        <v>1</v>
      </c>
      <c r="D43" s="5">
        <v>42</v>
      </c>
      <c r="E43" s="5"/>
    </row>
    <row r="44" spans="1:5" x14ac:dyDescent="0.25">
      <c r="A44" s="2">
        <v>43</v>
      </c>
      <c r="B44" s="2" t="s">
        <v>560</v>
      </c>
      <c r="C44" s="2">
        <v>1</v>
      </c>
      <c r="D44" s="2">
        <v>43</v>
      </c>
      <c r="E44" s="2"/>
    </row>
    <row r="45" spans="1:5" ht="30" x14ac:dyDescent="0.25">
      <c r="A45" s="5">
        <v>44</v>
      </c>
      <c r="B45" s="5" t="s">
        <v>572</v>
      </c>
      <c r="C45" s="5">
        <v>1</v>
      </c>
      <c r="D45" s="5">
        <v>44</v>
      </c>
      <c r="E45" s="5"/>
    </row>
    <row r="46" spans="1:5" x14ac:dyDescent="0.25">
      <c r="A46" s="2">
        <v>45</v>
      </c>
      <c r="B46" s="2" t="s">
        <v>584</v>
      </c>
      <c r="C46" s="2">
        <v>1</v>
      </c>
      <c r="D46" s="2">
        <v>45</v>
      </c>
      <c r="E46" s="2"/>
    </row>
    <row r="47" spans="1:5" ht="30" x14ac:dyDescent="0.25">
      <c r="A47" s="5">
        <v>46</v>
      </c>
      <c r="B47" s="5" t="s">
        <v>598</v>
      </c>
      <c r="C47" s="5">
        <v>1</v>
      </c>
      <c r="D47" s="5">
        <v>46</v>
      </c>
      <c r="E47" s="5"/>
    </row>
    <row r="48" spans="1:5" ht="30" x14ac:dyDescent="0.25">
      <c r="A48" s="2">
        <v>47</v>
      </c>
      <c r="B48" s="2" t="s">
        <v>612</v>
      </c>
      <c r="C48" s="2">
        <v>1</v>
      </c>
      <c r="D48" s="2">
        <v>47</v>
      </c>
      <c r="E48" s="2"/>
    </row>
    <row r="49" spans="1:5" x14ac:dyDescent="0.25">
      <c r="A49" s="5">
        <v>48</v>
      </c>
      <c r="B49" s="5" t="s">
        <v>622</v>
      </c>
      <c r="C49" s="5">
        <v>1</v>
      </c>
      <c r="D49" s="5">
        <v>48</v>
      </c>
      <c r="E49" s="5"/>
    </row>
    <row r="50" spans="1:5" x14ac:dyDescent="0.25">
      <c r="A50" s="2">
        <v>49</v>
      </c>
      <c r="B50" s="2" t="s">
        <v>633</v>
      </c>
      <c r="C50" s="2">
        <v>1</v>
      </c>
      <c r="D50" s="2">
        <v>49</v>
      </c>
      <c r="E50" s="2"/>
    </row>
    <row r="51" spans="1:5" ht="30" x14ac:dyDescent="0.25">
      <c r="A51" s="5">
        <v>50</v>
      </c>
      <c r="B51" s="5" t="s">
        <v>648</v>
      </c>
      <c r="C51" s="5">
        <v>1</v>
      </c>
      <c r="D51" s="5">
        <v>50</v>
      </c>
      <c r="E51" s="5"/>
    </row>
    <row r="52" spans="1:5" x14ac:dyDescent="0.25">
      <c r="A52" s="2">
        <v>51</v>
      </c>
      <c r="B52" s="2" t="s">
        <v>660</v>
      </c>
      <c r="C52" s="2">
        <v>1</v>
      </c>
      <c r="D52" s="2">
        <v>51</v>
      </c>
      <c r="E52" s="2"/>
    </row>
    <row r="53" spans="1:5" x14ac:dyDescent="0.25">
      <c r="A53" s="5">
        <v>52</v>
      </c>
      <c r="B53" s="5" t="s">
        <v>668</v>
      </c>
      <c r="C53" s="5">
        <v>1</v>
      </c>
      <c r="D53" s="5">
        <v>52</v>
      </c>
      <c r="E53" s="5"/>
    </row>
    <row r="54" spans="1:5" x14ac:dyDescent="0.25">
      <c r="A54" s="2">
        <v>53</v>
      </c>
      <c r="B54" s="2" t="s">
        <v>677</v>
      </c>
      <c r="C54" s="2">
        <v>1</v>
      </c>
      <c r="D54" s="2">
        <v>53</v>
      </c>
      <c r="E54" s="2"/>
    </row>
    <row r="55" spans="1:5" ht="30" x14ac:dyDescent="0.25">
      <c r="A55" s="5">
        <v>54</v>
      </c>
      <c r="B55" s="5" t="s">
        <v>689</v>
      </c>
      <c r="C55" s="5">
        <v>1</v>
      </c>
      <c r="D55" s="5">
        <v>54</v>
      </c>
      <c r="E55" s="5"/>
    </row>
    <row r="56" spans="1:5" x14ac:dyDescent="0.25">
      <c r="A56" s="2">
        <v>55</v>
      </c>
      <c r="B56" s="2" t="s">
        <v>700</v>
      </c>
      <c r="C56" s="2">
        <v>1</v>
      </c>
      <c r="D56" s="2">
        <v>55</v>
      </c>
      <c r="E56" s="2"/>
    </row>
    <row r="57" spans="1:5" x14ac:dyDescent="0.25">
      <c r="A57" s="5">
        <v>56</v>
      </c>
      <c r="B57" s="5" t="s">
        <v>711</v>
      </c>
      <c r="C57" s="5">
        <v>1</v>
      </c>
      <c r="D57" s="5">
        <v>56</v>
      </c>
      <c r="E57" s="5"/>
    </row>
    <row r="58" spans="1:5" x14ac:dyDescent="0.25">
      <c r="A58" s="2">
        <v>57</v>
      </c>
      <c r="B58" s="2" t="s">
        <v>721</v>
      </c>
      <c r="C58" s="2">
        <v>1</v>
      </c>
      <c r="D58" s="2">
        <v>57</v>
      </c>
      <c r="E58" s="2"/>
    </row>
    <row r="59" spans="1:5" x14ac:dyDescent="0.25">
      <c r="A59" s="5">
        <v>58</v>
      </c>
      <c r="B59" s="5" t="s">
        <v>733</v>
      </c>
      <c r="C59" s="5">
        <v>1</v>
      </c>
      <c r="D59" s="5">
        <v>58</v>
      </c>
      <c r="E59" s="5"/>
    </row>
    <row r="60" spans="1:5" x14ac:dyDescent="0.25">
      <c r="A60" s="2">
        <v>59</v>
      </c>
      <c r="B60" s="2" t="s">
        <v>747</v>
      </c>
      <c r="C60" s="2">
        <v>1</v>
      </c>
      <c r="D60" s="2">
        <v>59</v>
      </c>
      <c r="E60" s="2"/>
    </row>
    <row r="61" spans="1:5" ht="30" x14ac:dyDescent="0.25">
      <c r="A61" s="5">
        <v>60</v>
      </c>
      <c r="B61" s="5" t="s">
        <v>756</v>
      </c>
      <c r="C61" s="5">
        <v>1</v>
      </c>
      <c r="D61" s="5">
        <v>60</v>
      </c>
      <c r="E61" s="5" t="s">
        <v>788</v>
      </c>
    </row>
    <row r="62" spans="1:5" x14ac:dyDescent="0.25">
      <c r="A62" s="2">
        <v>61</v>
      </c>
      <c r="B62" s="2" t="s">
        <v>765</v>
      </c>
      <c r="C62" s="2">
        <v>1</v>
      </c>
      <c r="D62" s="2">
        <v>61</v>
      </c>
      <c r="E62" s="2"/>
    </row>
    <row r="63" spans="1:5" x14ac:dyDescent="0.25">
      <c r="A63" s="5">
        <v>62</v>
      </c>
      <c r="B63" s="5" t="s">
        <v>773</v>
      </c>
      <c r="C63" s="5">
        <v>1</v>
      </c>
      <c r="D63" s="5">
        <v>62</v>
      </c>
      <c r="E63" s="5"/>
    </row>
    <row r="64" spans="1:5" x14ac:dyDescent="0.25">
      <c r="A64" s="2">
        <v>63</v>
      </c>
      <c r="B64" s="2" t="s">
        <v>783</v>
      </c>
      <c r="C64" s="2">
        <v>1</v>
      </c>
      <c r="D64" s="2">
        <v>63</v>
      </c>
      <c r="E64" s="2"/>
    </row>
    <row r="65" spans="1:5" ht="30" x14ac:dyDescent="0.25">
      <c r="A65" s="5">
        <v>64</v>
      </c>
      <c r="B65" s="5" t="s">
        <v>789</v>
      </c>
      <c r="C65" s="5">
        <v>0</v>
      </c>
      <c r="D65" s="5"/>
      <c r="E65" s="5" t="s">
        <v>790</v>
      </c>
    </row>
  </sheetData>
  <autoFilter ref="A1:E65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workbookViewId="0">
      <pane ySplit="1" topLeftCell="A6" activePane="bottomLeft" state="frozen"/>
      <selection pane="bottomLeft" activeCell="G48" sqref="G48"/>
    </sheetView>
  </sheetViews>
  <sheetFormatPr defaultRowHeight="15" x14ac:dyDescent="0.25"/>
  <cols>
    <col min="1" max="1" width="7" customWidth="1"/>
    <col min="2" max="2" width="45" customWidth="1"/>
    <col min="3" max="3" width="12" customWidth="1"/>
    <col min="4" max="4" width="24" customWidth="1"/>
    <col min="5" max="6" width="22" customWidth="1"/>
    <col min="7" max="7" width="16" customWidth="1"/>
    <col min="8" max="8" width="15" customWidth="1"/>
    <col min="9" max="10" width="34.42578125" customWidth="1"/>
    <col min="11" max="12" width="28" customWidth="1"/>
    <col min="13" max="13" width="24" customWidth="1"/>
    <col min="14" max="14" width="28" customWidth="1"/>
    <col min="15" max="15" width="12" customWidth="1"/>
    <col min="16" max="16" width="14" customWidth="1"/>
    <col min="17" max="17" width="11" customWidth="1"/>
    <col min="18" max="18" width="10" customWidth="1"/>
    <col min="19" max="19" width="12" customWidth="1"/>
    <col min="20" max="20" width="14" customWidth="1"/>
    <col min="21" max="21" width="16" customWidth="1"/>
    <col min="22" max="22" width="42" customWidth="1"/>
    <col min="23" max="23" width="45" customWidth="1"/>
    <col min="24" max="24" width="32" customWidth="1"/>
  </cols>
  <sheetData>
    <row r="1" spans="1:2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" x14ac:dyDescent="0.25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3">
        <v>0</v>
      </c>
      <c r="P2" s="3">
        <v>0</v>
      </c>
      <c r="Q2" s="4">
        <v>1</v>
      </c>
      <c r="R2" s="4">
        <v>1</v>
      </c>
      <c r="S2" s="3">
        <v>0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</row>
    <row r="3" spans="1:24" ht="45" x14ac:dyDescent="0.25">
      <c r="A3" s="5">
        <v>2</v>
      </c>
      <c r="B3" s="5" t="s">
        <v>42</v>
      </c>
      <c r="C3" s="5" t="s">
        <v>43</v>
      </c>
      <c r="D3" s="5" t="s">
        <v>26</v>
      </c>
      <c r="E3" s="5" t="s">
        <v>44</v>
      </c>
      <c r="F3" s="5" t="s">
        <v>45</v>
      </c>
      <c r="G3" s="5" t="s">
        <v>29</v>
      </c>
      <c r="H3" s="5" t="s">
        <v>46</v>
      </c>
      <c r="I3" s="5" t="s">
        <v>32</v>
      </c>
      <c r="J3" s="5" t="s">
        <v>47</v>
      </c>
      <c r="K3" s="5" t="s">
        <v>48</v>
      </c>
      <c r="L3" s="5" t="s">
        <v>49</v>
      </c>
      <c r="M3" s="5" t="s">
        <v>50</v>
      </c>
      <c r="N3" s="5" t="s">
        <v>51</v>
      </c>
      <c r="O3" s="4">
        <v>1</v>
      </c>
      <c r="P3" s="3">
        <v>0</v>
      </c>
      <c r="Q3" s="3">
        <v>0</v>
      </c>
      <c r="R3" s="4">
        <v>1</v>
      </c>
      <c r="S3" s="3">
        <v>0</v>
      </c>
      <c r="T3" s="5" t="s">
        <v>52</v>
      </c>
      <c r="U3" s="5" t="s">
        <v>53</v>
      </c>
      <c r="V3" s="5" t="s">
        <v>54</v>
      </c>
      <c r="W3" s="5" t="s">
        <v>55</v>
      </c>
      <c r="X3" s="5" t="s">
        <v>56</v>
      </c>
    </row>
    <row r="4" spans="1:24" ht="45" x14ac:dyDescent="0.25">
      <c r="A4" s="2">
        <v>3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46</v>
      </c>
      <c r="I4" s="2" t="s">
        <v>32</v>
      </c>
      <c r="J4" s="2" t="s">
        <v>739</v>
      </c>
      <c r="K4" s="2" t="s">
        <v>64</v>
      </c>
      <c r="L4" s="2" t="s">
        <v>49</v>
      </c>
      <c r="M4" s="2" t="s">
        <v>65</v>
      </c>
      <c r="N4" s="2" t="s">
        <v>66</v>
      </c>
      <c r="O4" s="4">
        <v>1</v>
      </c>
      <c r="P4" s="4">
        <v>1</v>
      </c>
      <c r="Q4" s="3">
        <v>0</v>
      </c>
      <c r="R4" s="4">
        <v>1</v>
      </c>
      <c r="S4" s="3">
        <v>0</v>
      </c>
      <c r="T4" s="2" t="s">
        <v>52</v>
      </c>
      <c r="U4" s="2" t="s">
        <v>67</v>
      </c>
      <c r="V4" s="2" t="s">
        <v>68</v>
      </c>
      <c r="W4" s="2" t="s">
        <v>69</v>
      </c>
      <c r="X4" s="2" t="s">
        <v>70</v>
      </c>
    </row>
    <row r="5" spans="1:24" ht="45" x14ac:dyDescent="0.25">
      <c r="A5" s="5">
        <v>4</v>
      </c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  <c r="H5" s="5" t="s">
        <v>30</v>
      </c>
      <c r="I5" s="5" t="s">
        <v>32</v>
      </c>
      <c r="J5" s="5" t="s">
        <v>47</v>
      </c>
      <c r="K5" s="5" t="s">
        <v>77</v>
      </c>
      <c r="L5" s="5" t="s">
        <v>78</v>
      </c>
      <c r="M5" s="5" t="s">
        <v>79</v>
      </c>
      <c r="N5" s="5" t="s">
        <v>80</v>
      </c>
      <c r="O5" s="4">
        <v>1</v>
      </c>
      <c r="P5" s="3">
        <v>0</v>
      </c>
      <c r="Q5" s="3">
        <v>0</v>
      </c>
      <c r="R5" s="4">
        <v>1</v>
      </c>
      <c r="S5" s="3">
        <v>0</v>
      </c>
      <c r="T5" s="5" t="s">
        <v>81</v>
      </c>
      <c r="U5" s="5" t="s">
        <v>67</v>
      </c>
      <c r="V5" s="5" t="s">
        <v>82</v>
      </c>
      <c r="W5" s="5" t="s">
        <v>83</v>
      </c>
      <c r="X5" s="5" t="s">
        <v>84</v>
      </c>
    </row>
    <row r="6" spans="1:24" ht="45" x14ac:dyDescent="0.25">
      <c r="A6" s="2">
        <v>5</v>
      </c>
      <c r="B6" s="2" t="s">
        <v>85</v>
      </c>
      <c r="C6" s="2" t="s">
        <v>58</v>
      </c>
      <c r="D6" s="2" t="s">
        <v>86</v>
      </c>
      <c r="E6" s="2" t="s">
        <v>60</v>
      </c>
      <c r="F6" s="2" t="s">
        <v>45</v>
      </c>
      <c r="G6" s="2" t="s">
        <v>62</v>
      </c>
      <c r="H6" s="2" t="s">
        <v>46</v>
      </c>
      <c r="I6" s="2" t="s">
        <v>32</v>
      </c>
      <c r="J6" s="2" t="s">
        <v>87</v>
      </c>
      <c r="K6" s="2" t="s">
        <v>88</v>
      </c>
      <c r="L6" s="2" t="s">
        <v>89</v>
      </c>
      <c r="M6" s="2" t="s">
        <v>50</v>
      </c>
      <c r="N6" s="2" t="s">
        <v>90</v>
      </c>
      <c r="O6" s="3">
        <v>0</v>
      </c>
      <c r="P6" s="3">
        <v>0</v>
      </c>
      <c r="Q6" s="3">
        <v>0</v>
      </c>
      <c r="R6" s="4">
        <v>1</v>
      </c>
      <c r="S6" s="3">
        <v>0</v>
      </c>
      <c r="T6" s="2" t="s">
        <v>37</v>
      </c>
      <c r="U6" s="2" t="s">
        <v>53</v>
      </c>
      <c r="V6" s="2" t="s">
        <v>91</v>
      </c>
      <c r="W6" s="2" t="s">
        <v>92</v>
      </c>
      <c r="X6" s="2" t="s">
        <v>93</v>
      </c>
    </row>
    <row r="7" spans="1:24" ht="45" x14ac:dyDescent="0.25">
      <c r="A7" s="5">
        <v>6</v>
      </c>
      <c r="B7" s="5" t="s">
        <v>94</v>
      </c>
      <c r="C7" s="5" t="s">
        <v>95</v>
      </c>
      <c r="D7" s="5" t="s">
        <v>96</v>
      </c>
      <c r="E7" s="5" t="s">
        <v>97</v>
      </c>
      <c r="F7" s="5" t="s">
        <v>98</v>
      </c>
      <c r="G7" s="5" t="s">
        <v>62</v>
      </c>
      <c r="H7" s="5" t="s">
        <v>99</v>
      </c>
      <c r="I7" s="5" t="s">
        <v>63</v>
      </c>
      <c r="J7" s="5" t="s">
        <v>32</v>
      </c>
      <c r="K7" s="5" t="s">
        <v>100</v>
      </c>
      <c r="L7" s="5" t="s">
        <v>101</v>
      </c>
      <c r="M7" s="5" t="s">
        <v>102</v>
      </c>
      <c r="N7" s="5" t="s">
        <v>103</v>
      </c>
      <c r="O7" s="4">
        <v>1</v>
      </c>
      <c r="P7" s="4">
        <v>1</v>
      </c>
      <c r="Q7" s="3">
        <v>0</v>
      </c>
      <c r="R7" s="4">
        <v>1</v>
      </c>
      <c r="S7" s="3">
        <v>0</v>
      </c>
      <c r="T7" s="5" t="s">
        <v>37</v>
      </c>
      <c r="U7" s="5" t="s">
        <v>104</v>
      </c>
      <c r="V7" s="5" t="s">
        <v>105</v>
      </c>
      <c r="W7" s="5" t="s">
        <v>106</v>
      </c>
      <c r="X7" s="5" t="s">
        <v>107</v>
      </c>
    </row>
    <row r="8" spans="1:24" ht="30" x14ac:dyDescent="0.25">
      <c r="A8" s="2">
        <v>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29</v>
      </c>
      <c r="H8" s="2" t="s">
        <v>113</v>
      </c>
      <c r="I8" s="2" t="s">
        <v>31</v>
      </c>
      <c r="J8" s="2" t="s">
        <v>739</v>
      </c>
      <c r="K8" s="2" t="s">
        <v>114</v>
      </c>
      <c r="L8" s="2" t="s">
        <v>115</v>
      </c>
      <c r="M8" s="2" t="s">
        <v>79</v>
      </c>
      <c r="N8" s="2" t="s">
        <v>116</v>
      </c>
      <c r="O8" s="4">
        <v>1</v>
      </c>
      <c r="P8" s="4">
        <v>1</v>
      </c>
      <c r="Q8" s="4">
        <v>1</v>
      </c>
      <c r="R8" s="4">
        <v>1</v>
      </c>
      <c r="S8" s="3">
        <v>0</v>
      </c>
      <c r="T8" s="2" t="s">
        <v>37</v>
      </c>
      <c r="U8" s="2" t="s">
        <v>38</v>
      </c>
      <c r="V8" s="2" t="s">
        <v>117</v>
      </c>
      <c r="W8" s="2" t="s">
        <v>118</v>
      </c>
      <c r="X8" s="2" t="s">
        <v>119</v>
      </c>
    </row>
    <row r="9" spans="1:24" ht="45" x14ac:dyDescent="0.25">
      <c r="A9" s="5">
        <v>8</v>
      </c>
      <c r="B9" s="5" t="s">
        <v>120</v>
      </c>
      <c r="C9" s="5" t="s">
        <v>121</v>
      </c>
      <c r="D9" s="5" t="s">
        <v>122</v>
      </c>
      <c r="E9" s="5" t="s">
        <v>123</v>
      </c>
      <c r="F9" s="5" t="s">
        <v>124</v>
      </c>
      <c r="G9" s="5" t="s">
        <v>29</v>
      </c>
      <c r="H9" s="5" t="s">
        <v>30</v>
      </c>
      <c r="I9" s="5" t="s">
        <v>125</v>
      </c>
      <c r="J9" s="5" t="s">
        <v>739</v>
      </c>
      <c r="K9" s="5" t="s">
        <v>126</v>
      </c>
      <c r="L9" s="5" t="s">
        <v>127</v>
      </c>
      <c r="M9" s="5" t="s">
        <v>128</v>
      </c>
      <c r="N9" s="5" t="s">
        <v>129</v>
      </c>
      <c r="O9" s="4">
        <v>1</v>
      </c>
      <c r="P9" s="4">
        <v>1</v>
      </c>
      <c r="Q9" s="3">
        <v>0</v>
      </c>
      <c r="R9" s="3">
        <v>0</v>
      </c>
      <c r="S9" s="4">
        <v>1</v>
      </c>
      <c r="T9" s="5" t="s">
        <v>52</v>
      </c>
      <c r="U9" s="5" t="s">
        <v>130</v>
      </c>
      <c r="V9" s="5" t="s">
        <v>131</v>
      </c>
      <c r="W9" s="5" t="s">
        <v>132</v>
      </c>
      <c r="X9" s="5" t="s">
        <v>133</v>
      </c>
    </row>
    <row r="10" spans="1:24" ht="30" x14ac:dyDescent="0.25">
      <c r="A10" s="2">
        <v>9</v>
      </c>
      <c r="B10" s="2" t="s">
        <v>134</v>
      </c>
      <c r="C10" s="2" t="s">
        <v>58</v>
      </c>
      <c r="D10" s="2" t="s">
        <v>135</v>
      </c>
      <c r="E10" s="2" t="s">
        <v>136</v>
      </c>
      <c r="F10" s="2" t="s">
        <v>45</v>
      </c>
      <c r="G10" s="2" t="s">
        <v>29</v>
      </c>
      <c r="H10" s="2" t="s">
        <v>46</v>
      </c>
      <c r="I10" s="2" t="s">
        <v>32</v>
      </c>
      <c r="J10" s="2" t="s">
        <v>739</v>
      </c>
      <c r="K10" s="2" t="s">
        <v>137</v>
      </c>
      <c r="L10" s="2" t="s">
        <v>49</v>
      </c>
      <c r="M10" s="2" t="s">
        <v>79</v>
      </c>
      <c r="N10" s="2" t="s">
        <v>138</v>
      </c>
      <c r="O10" s="4">
        <v>1</v>
      </c>
      <c r="P10" s="4">
        <v>1</v>
      </c>
      <c r="Q10" s="3">
        <v>0</v>
      </c>
      <c r="R10" s="4">
        <v>1</v>
      </c>
      <c r="S10" s="3">
        <v>0</v>
      </c>
      <c r="T10" s="2" t="s">
        <v>81</v>
      </c>
      <c r="U10" s="2" t="s">
        <v>139</v>
      </c>
      <c r="V10" s="2" t="s">
        <v>140</v>
      </c>
      <c r="W10" s="2" t="s">
        <v>141</v>
      </c>
      <c r="X10" s="2" t="s">
        <v>142</v>
      </c>
    </row>
    <row r="11" spans="1:24" ht="45" x14ac:dyDescent="0.25">
      <c r="A11" s="5">
        <v>10</v>
      </c>
      <c r="B11" s="5" t="s">
        <v>143</v>
      </c>
      <c r="C11" s="5" t="s">
        <v>144</v>
      </c>
      <c r="D11" s="5" t="s">
        <v>26</v>
      </c>
      <c r="E11" s="5" t="s">
        <v>145</v>
      </c>
      <c r="F11" s="5" t="s">
        <v>146</v>
      </c>
      <c r="G11" s="5" t="s">
        <v>29</v>
      </c>
      <c r="H11" s="5" t="s">
        <v>147</v>
      </c>
      <c r="I11" s="5" t="s">
        <v>125</v>
      </c>
      <c r="J11" s="5" t="s">
        <v>32</v>
      </c>
      <c r="K11" s="5" t="s">
        <v>148</v>
      </c>
      <c r="L11" s="5" t="s">
        <v>149</v>
      </c>
      <c r="M11" s="5" t="s">
        <v>150</v>
      </c>
      <c r="N11" s="5" t="s">
        <v>151</v>
      </c>
      <c r="O11" s="3">
        <v>0</v>
      </c>
      <c r="P11" s="4">
        <v>1</v>
      </c>
      <c r="Q11" s="3">
        <v>0</v>
      </c>
      <c r="R11" s="4">
        <v>1</v>
      </c>
      <c r="S11" s="4">
        <v>1</v>
      </c>
      <c r="T11" s="5" t="s">
        <v>152</v>
      </c>
      <c r="U11" s="5" t="s">
        <v>153</v>
      </c>
      <c r="V11" s="5" t="s">
        <v>154</v>
      </c>
      <c r="W11" s="5" t="s">
        <v>155</v>
      </c>
      <c r="X11" s="5" t="s">
        <v>156</v>
      </c>
    </row>
    <row r="12" spans="1:24" ht="30" x14ac:dyDescent="0.25">
      <c r="A12" s="2">
        <v>11</v>
      </c>
      <c r="B12" s="2" t="s">
        <v>157</v>
      </c>
      <c r="C12" s="2" t="s">
        <v>158</v>
      </c>
      <c r="D12" s="2" t="s">
        <v>159</v>
      </c>
      <c r="E12" s="2" t="s">
        <v>160</v>
      </c>
      <c r="F12" s="2" t="s">
        <v>161</v>
      </c>
      <c r="G12" s="2" t="s">
        <v>29</v>
      </c>
      <c r="H12" s="2" t="s">
        <v>162</v>
      </c>
      <c r="I12" s="2" t="s">
        <v>79</v>
      </c>
      <c r="J12" s="2" t="s">
        <v>31</v>
      </c>
      <c r="K12" s="2" t="s">
        <v>163</v>
      </c>
      <c r="L12" s="2" t="s">
        <v>164</v>
      </c>
      <c r="M12" s="2" t="s">
        <v>165</v>
      </c>
      <c r="N12" s="2" t="s">
        <v>166</v>
      </c>
      <c r="O12" s="3">
        <v>0</v>
      </c>
      <c r="P12" s="3">
        <v>0</v>
      </c>
      <c r="Q12" s="4">
        <v>1</v>
      </c>
      <c r="R12" s="3">
        <v>0</v>
      </c>
      <c r="S12" s="3">
        <v>0</v>
      </c>
      <c r="T12" s="2" t="s">
        <v>167</v>
      </c>
      <c r="U12" s="2" t="s">
        <v>168</v>
      </c>
      <c r="V12" s="2" t="s">
        <v>169</v>
      </c>
      <c r="W12" s="2" t="s">
        <v>170</v>
      </c>
      <c r="X12" s="2" t="s">
        <v>171</v>
      </c>
    </row>
    <row r="13" spans="1:24" ht="45" x14ac:dyDescent="0.25">
      <c r="A13" s="5">
        <v>12</v>
      </c>
      <c r="B13" s="5" t="s">
        <v>172</v>
      </c>
      <c r="C13" s="5" t="s">
        <v>173</v>
      </c>
      <c r="D13" s="5" t="s">
        <v>174</v>
      </c>
      <c r="E13" s="5" t="s">
        <v>175</v>
      </c>
      <c r="F13" s="5" t="s">
        <v>176</v>
      </c>
      <c r="G13" s="5" t="s">
        <v>29</v>
      </c>
      <c r="H13" s="5" t="s">
        <v>30</v>
      </c>
      <c r="I13" s="5" t="s">
        <v>125</v>
      </c>
      <c r="J13" s="5" t="s">
        <v>87</v>
      </c>
      <c r="K13" s="5" t="s">
        <v>177</v>
      </c>
      <c r="L13" s="5" t="s">
        <v>178</v>
      </c>
      <c r="M13" s="5" t="s">
        <v>179</v>
      </c>
      <c r="N13" s="5" t="s">
        <v>180</v>
      </c>
      <c r="O13" s="4">
        <v>1</v>
      </c>
      <c r="P13" s="3">
        <v>0</v>
      </c>
      <c r="Q13" s="3">
        <v>0</v>
      </c>
      <c r="R13" s="3">
        <v>0</v>
      </c>
      <c r="S13" s="4">
        <v>1</v>
      </c>
      <c r="T13" s="5" t="s">
        <v>38</v>
      </c>
      <c r="U13" s="5" t="s">
        <v>181</v>
      </c>
      <c r="V13" s="5" t="s">
        <v>182</v>
      </c>
      <c r="W13" s="5" t="s">
        <v>183</v>
      </c>
      <c r="X13" s="5" t="s">
        <v>184</v>
      </c>
    </row>
    <row r="14" spans="1:24" ht="45" x14ac:dyDescent="0.25">
      <c r="A14" s="2">
        <v>13</v>
      </c>
      <c r="B14" s="2" t="s">
        <v>185</v>
      </c>
      <c r="C14" s="2" t="s">
        <v>186</v>
      </c>
      <c r="D14" s="2" t="s">
        <v>26</v>
      </c>
      <c r="E14" s="2" t="s">
        <v>187</v>
      </c>
      <c r="F14" s="2" t="s">
        <v>188</v>
      </c>
      <c r="G14" s="2" t="s">
        <v>29</v>
      </c>
      <c r="H14" s="2" t="s">
        <v>30</v>
      </c>
      <c r="I14" s="2" t="s">
        <v>47</v>
      </c>
      <c r="J14" s="2" t="s">
        <v>189</v>
      </c>
      <c r="K14" s="2" t="s">
        <v>190</v>
      </c>
      <c r="L14" s="2" t="s">
        <v>191</v>
      </c>
      <c r="M14" s="2" t="s">
        <v>192</v>
      </c>
      <c r="N14" s="2" t="s">
        <v>193</v>
      </c>
      <c r="O14" s="4">
        <v>1</v>
      </c>
      <c r="P14" s="3">
        <v>0</v>
      </c>
      <c r="Q14" s="3">
        <v>0</v>
      </c>
      <c r="R14" s="3">
        <v>0</v>
      </c>
      <c r="S14" s="3">
        <v>0</v>
      </c>
      <c r="T14" s="2" t="s">
        <v>38</v>
      </c>
      <c r="U14" s="2" t="s">
        <v>194</v>
      </c>
      <c r="V14" s="2" t="s">
        <v>195</v>
      </c>
      <c r="W14" s="2" t="s">
        <v>196</v>
      </c>
      <c r="X14" s="2" t="s">
        <v>197</v>
      </c>
    </row>
    <row r="15" spans="1:24" ht="45" x14ac:dyDescent="0.25">
      <c r="A15" s="5">
        <v>14</v>
      </c>
      <c r="B15" s="5" t="s">
        <v>198</v>
      </c>
      <c r="C15" s="5" t="s">
        <v>186</v>
      </c>
      <c r="D15" s="5" t="s">
        <v>199</v>
      </c>
      <c r="E15" s="5" t="s">
        <v>200</v>
      </c>
      <c r="F15" s="5" t="s">
        <v>201</v>
      </c>
      <c r="G15" s="5" t="s">
        <v>29</v>
      </c>
      <c r="H15" s="5" t="s">
        <v>147</v>
      </c>
      <c r="I15" s="5" t="s">
        <v>202</v>
      </c>
      <c r="J15" s="5" t="s">
        <v>125</v>
      </c>
      <c r="K15" s="5" t="s">
        <v>203</v>
      </c>
      <c r="L15" s="5" t="s">
        <v>204</v>
      </c>
      <c r="M15" s="5" t="s">
        <v>150</v>
      </c>
      <c r="N15" s="5" t="s">
        <v>205</v>
      </c>
      <c r="O15" s="3">
        <v>0</v>
      </c>
      <c r="P15" s="3">
        <v>0</v>
      </c>
      <c r="Q15" s="4">
        <v>1</v>
      </c>
      <c r="R15" s="3">
        <v>0</v>
      </c>
      <c r="S15" s="4">
        <v>1</v>
      </c>
      <c r="T15" s="5" t="s">
        <v>152</v>
      </c>
      <c r="U15" s="5" t="s">
        <v>206</v>
      </c>
      <c r="V15" s="5" t="s">
        <v>207</v>
      </c>
      <c r="W15" s="5" t="s">
        <v>208</v>
      </c>
      <c r="X15" s="5" t="s">
        <v>209</v>
      </c>
    </row>
    <row r="16" spans="1:24" ht="30" x14ac:dyDescent="0.25">
      <c r="A16" s="2">
        <v>15</v>
      </c>
      <c r="B16" s="2" t="s">
        <v>210</v>
      </c>
      <c r="C16" s="2" t="s">
        <v>211</v>
      </c>
      <c r="D16" s="2" t="s">
        <v>212</v>
      </c>
      <c r="E16" s="2" t="s">
        <v>213</v>
      </c>
      <c r="F16" s="2" t="s">
        <v>214</v>
      </c>
      <c r="G16" s="2" t="s">
        <v>215</v>
      </c>
      <c r="H16" s="2" t="s">
        <v>162</v>
      </c>
      <c r="I16" s="2" t="s">
        <v>79</v>
      </c>
      <c r="J16" s="2" t="s">
        <v>216</v>
      </c>
      <c r="K16" s="2" t="s">
        <v>217</v>
      </c>
      <c r="L16" s="2" t="s">
        <v>218</v>
      </c>
      <c r="M16" s="2" t="s">
        <v>219</v>
      </c>
      <c r="N16" s="2" t="s">
        <v>220</v>
      </c>
      <c r="O16" s="4">
        <v>1</v>
      </c>
      <c r="P16" s="3">
        <v>0</v>
      </c>
      <c r="Q16" s="4">
        <v>1</v>
      </c>
      <c r="R16" s="4">
        <v>1</v>
      </c>
      <c r="S16" s="3">
        <v>0</v>
      </c>
      <c r="T16" s="2" t="s">
        <v>221</v>
      </c>
      <c r="U16" s="2" t="s">
        <v>222</v>
      </c>
      <c r="V16" s="2" t="s">
        <v>223</v>
      </c>
      <c r="W16" s="2" t="s">
        <v>224</v>
      </c>
      <c r="X16" s="2" t="s">
        <v>225</v>
      </c>
    </row>
    <row r="17" spans="1:24" ht="45" x14ac:dyDescent="0.25">
      <c r="A17" s="5">
        <v>16</v>
      </c>
      <c r="B17" s="5" t="s">
        <v>226</v>
      </c>
      <c r="C17" s="5" t="s">
        <v>227</v>
      </c>
      <c r="D17" s="5" t="s">
        <v>228</v>
      </c>
      <c r="E17" s="5" t="s">
        <v>60</v>
      </c>
      <c r="F17" s="5" t="s">
        <v>45</v>
      </c>
      <c r="G17" s="5" t="s">
        <v>229</v>
      </c>
      <c r="H17" s="5" t="s">
        <v>147</v>
      </c>
      <c r="I17" s="5" t="s">
        <v>32</v>
      </c>
      <c r="J17" s="5" t="s">
        <v>189</v>
      </c>
      <c r="K17" s="5" t="s">
        <v>230</v>
      </c>
      <c r="L17" s="5" t="s">
        <v>231</v>
      </c>
      <c r="M17" s="5" t="s">
        <v>232</v>
      </c>
      <c r="N17" s="5" t="s">
        <v>233</v>
      </c>
      <c r="O17" s="3">
        <v>0</v>
      </c>
      <c r="P17" s="3">
        <v>0</v>
      </c>
      <c r="Q17" s="3">
        <v>0</v>
      </c>
      <c r="R17" s="4">
        <v>1</v>
      </c>
      <c r="S17" s="3">
        <v>0</v>
      </c>
      <c r="T17" s="5" t="s">
        <v>234</v>
      </c>
      <c r="U17" s="5" t="s">
        <v>235</v>
      </c>
      <c r="V17" s="5" t="s">
        <v>236</v>
      </c>
      <c r="W17" s="5" t="s">
        <v>237</v>
      </c>
      <c r="X17" s="5" t="s">
        <v>238</v>
      </c>
    </row>
    <row r="18" spans="1:24" ht="45" x14ac:dyDescent="0.25">
      <c r="A18" s="2">
        <v>17</v>
      </c>
      <c r="B18" s="2" t="s">
        <v>239</v>
      </c>
      <c r="C18" s="2" t="s">
        <v>240</v>
      </c>
      <c r="D18" s="2" t="s">
        <v>241</v>
      </c>
      <c r="E18" s="2" t="s">
        <v>242</v>
      </c>
      <c r="F18" s="2" t="s">
        <v>45</v>
      </c>
      <c r="G18" s="2" t="s">
        <v>243</v>
      </c>
      <c r="H18" s="2" t="s">
        <v>46</v>
      </c>
      <c r="I18" s="2" t="s">
        <v>31</v>
      </c>
      <c r="J18" s="2" t="s">
        <v>87</v>
      </c>
      <c r="K18" s="2" t="s">
        <v>244</v>
      </c>
      <c r="L18" s="2" t="s">
        <v>245</v>
      </c>
      <c r="M18" s="2" t="s">
        <v>246</v>
      </c>
      <c r="N18" s="2" t="s">
        <v>247</v>
      </c>
      <c r="O18" s="4">
        <v>1</v>
      </c>
      <c r="P18" s="4">
        <v>1</v>
      </c>
      <c r="Q18" s="4">
        <v>1</v>
      </c>
      <c r="R18" s="3">
        <v>0</v>
      </c>
      <c r="S18" s="3">
        <v>0</v>
      </c>
      <c r="T18" s="2" t="s">
        <v>234</v>
      </c>
      <c r="U18" s="2" t="s">
        <v>248</v>
      </c>
      <c r="V18" s="2" t="s">
        <v>249</v>
      </c>
      <c r="W18" s="2" t="s">
        <v>250</v>
      </c>
      <c r="X18" s="2" t="s">
        <v>251</v>
      </c>
    </row>
    <row r="19" spans="1:24" ht="45" x14ac:dyDescent="0.25">
      <c r="A19" s="5">
        <v>18</v>
      </c>
      <c r="B19" s="5" t="s">
        <v>252</v>
      </c>
      <c r="C19" s="5" t="s">
        <v>253</v>
      </c>
      <c r="D19" s="5" t="s">
        <v>254</v>
      </c>
      <c r="E19" s="5" t="s">
        <v>255</v>
      </c>
      <c r="F19" s="5" t="s">
        <v>256</v>
      </c>
      <c r="G19" s="5" t="s">
        <v>29</v>
      </c>
      <c r="H19" s="5" t="s">
        <v>46</v>
      </c>
      <c r="I19" s="5" t="s">
        <v>257</v>
      </c>
      <c r="J19" s="5" t="s">
        <v>125</v>
      </c>
      <c r="K19" s="5" t="s">
        <v>258</v>
      </c>
      <c r="L19" s="5" t="s">
        <v>259</v>
      </c>
      <c r="M19" s="5" t="s">
        <v>260</v>
      </c>
      <c r="N19" s="5" t="s">
        <v>261</v>
      </c>
      <c r="O19" s="4">
        <v>1</v>
      </c>
      <c r="P19" s="3">
        <v>0</v>
      </c>
      <c r="Q19" s="4">
        <v>1</v>
      </c>
      <c r="R19" s="3">
        <v>0</v>
      </c>
      <c r="S19" s="4">
        <v>1</v>
      </c>
      <c r="T19" s="5" t="s">
        <v>38</v>
      </c>
      <c r="U19" s="5" t="s">
        <v>262</v>
      </c>
      <c r="V19" s="5" t="s">
        <v>263</v>
      </c>
      <c r="W19" s="5" t="s">
        <v>264</v>
      </c>
      <c r="X19" s="5" t="s">
        <v>265</v>
      </c>
    </row>
    <row r="20" spans="1:24" ht="30" x14ac:dyDescent="0.25">
      <c r="A20" s="2">
        <v>19</v>
      </c>
      <c r="B20" s="2" t="s">
        <v>266</v>
      </c>
      <c r="C20" s="2" t="s">
        <v>267</v>
      </c>
      <c r="D20" s="2" t="s">
        <v>268</v>
      </c>
      <c r="E20" s="2" t="s">
        <v>160</v>
      </c>
      <c r="F20" s="2" t="s">
        <v>269</v>
      </c>
      <c r="G20" s="2" t="s">
        <v>270</v>
      </c>
      <c r="H20" s="2" t="s">
        <v>162</v>
      </c>
      <c r="I20" s="2" t="s">
        <v>32</v>
      </c>
      <c r="J20" s="2" t="s">
        <v>79</v>
      </c>
      <c r="K20" s="2" t="s">
        <v>271</v>
      </c>
      <c r="L20" s="2" t="s">
        <v>272</v>
      </c>
      <c r="M20" s="2" t="s">
        <v>273</v>
      </c>
      <c r="N20" s="2" t="s">
        <v>274</v>
      </c>
      <c r="O20" s="3">
        <v>0</v>
      </c>
      <c r="P20" s="3">
        <v>0</v>
      </c>
      <c r="Q20" s="3">
        <v>0</v>
      </c>
      <c r="R20" s="4">
        <v>1</v>
      </c>
      <c r="S20" s="3">
        <v>0</v>
      </c>
      <c r="T20" s="2" t="s">
        <v>38</v>
      </c>
      <c r="U20" s="2" t="s">
        <v>181</v>
      </c>
      <c r="V20" s="2" t="s">
        <v>275</v>
      </c>
      <c r="W20" s="2" t="s">
        <v>276</v>
      </c>
      <c r="X20" s="2" t="s">
        <v>277</v>
      </c>
    </row>
    <row r="21" spans="1:24" ht="45" x14ac:dyDescent="0.25">
      <c r="A21" s="5">
        <v>20</v>
      </c>
      <c r="B21" s="5" t="s">
        <v>278</v>
      </c>
      <c r="C21" s="5" t="s">
        <v>279</v>
      </c>
      <c r="D21" s="5" t="s">
        <v>280</v>
      </c>
      <c r="E21" s="5" t="s">
        <v>160</v>
      </c>
      <c r="F21" s="5" t="s">
        <v>281</v>
      </c>
      <c r="G21" s="5" t="s">
        <v>282</v>
      </c>
      <c r="H21" s="5" t="s">
        <v>283</v>
      </c>
      <c r="I21" s="5" t="s">
        <v>31</v>
      </c>
      <c r="J21" s="5" t="s">
        <v>32</v>
      </c>
      <c r="K21" s="5" t="s">
        <v>284</v>
      </c>
      <c r="L21" s="5" t="s">
        <v>150</v>
      </c>
      <c r="M21" s="5" t="s">
        <v>285</v>
      </c>
      <c r="N21" s="5" t="s">
        <v>286</v>
      </c>
      <c r="O21" s="4">
        <v>1</v>
      </c>
      <c r="P21" s="3">
        <v>0</v>
      </c>
      <c r="Q21" s="4">
        <v>1</v>
      </c>
      <c r="R21" s="4">
        <v>1</v>
      </c>
      <c r="S21" s="4">
        <v>1</v>
      </c>
      <c r="T21" s="5" t="s">
        <v>37</v>
      </c>
      <c r="U21" s="5" t="s">
        <v>287</v>
      </c>
      <c r="V21" s="5" t="s">
        <v>288</v>
      </c>
      <c r="W21" s="5" t="s">
        <v>289</v>
      </c>
      <c r="X21" s="5" t="s">
        <v>290</v>
      </c>
    </row>
    <row r="22" spans="1:24" ht="45" x14ac:dyDescent="0.25">
      <c r="A22" s="2">
        <v>21</v>
      </c>
      <c r="B22" s="2" t="s">
        <v>291</v>
      </c>
      <c r="C22" s="2" t="s">
        <v>292</v>
      </c>
      <c r="D22" s="2" t="s">
        <v>293</v>
      </c>
      <c r="E22" s="2" t="s">
        <v>294</v>
      </c>
      <c r="F22" s="2" t="s">
        <v>295</v>
      </c>
      <c r="G22" s="2" t="s">
        <v>29</v>
      </c>
      <c r="H22" s="2" t="s">
        <v>46</v>
      </c>
      <c r="I22" s="2" t="s">
        <v>296</v>
      </c>
      <c r="J22" s="2" t="s">
        <v>47</v>
      </c>
      <c r="K22" s="2" t="s">
        <v>297</v>
      </c>
      <c r="L22" s="2" t="s">
        <v>298</v>
      </c>
      <c r="M22" s="2" t="s">
        <v>299</v>
      </c>
      <c r="N22" s="2" t="s">
        <v>300</v>
      </c>
      <c r="O22" s="4">
        <v>1</v>
      </c>
      <c r="P22" s="3">
        <v>0</v>
      </c>
      <c r="Q22" s="4">
        <v>1</v>
      </c>
      <c r="R22" s="3">
        <v>0</v>
      </c>
      <c r="S22" s="3">
        <v>0</v>
      </c>
      <c r="T22" s="2" t="s">
        <v>38</v>
      </c>
      <c r="U22" s="2" t="s">
        <v>301</v>
      </c>
      <c r="V22" s="2" t="s">
        <v>302</v>
      </c>
      <c r="W22" s="2" t="s">
        <v>303</v>
      </c>
      <c r="X22" s="2" t="s">
        <v>304</v>
      </c>
    </row>
    <row r="23" spans="1:24" ht="75" x14ac:dyDescent="0.25">
      <c r="A23" s="5">
        <v>22</v>
      </c>
      <c r="B23" s="5" t="s">
        <v>305</v>
      </c>
      <c r="C23" s="5" t="s">
        <v>306</v>
      </c>
      <c r="D23" s="5" t="s">
        <v>307</v>
      </c>
      <c r="E23" s="5" t="s">
        <v>308</v>
      </c>
      <c r="F23" s="5" t="s">
        <v>309</v>
      </c>
      <c r="G23" s="5" t="s">
        <v>29</v>
      </c>
      <c r="H23" s="5" t="s">
        <v>310</v>
      </c>
      <c r="I23" s="5" t="s">
        <v>79</v>
      </c>
      <c r="J23" s="5" t="s">
        <v>202</v>
      </c>
      <c r="K23" s="5" t="s">
        <v>311</v>
      </c>
      <c r="L23" s="5" t="s">
        <v>312</v>
      </c>
      <c r="M23" s="5" t="s">
        <v>313</v>
      </c>
      <c r="N23" s="5" t="s">
        <v>314</v>
      </c>
      <c r="O23" s="3">
        <v>0</v>
      </c>
      <c r="P23" s="3">
        <v>0</v>
      </c>
      <c r="Q23" s="4">
        <v>1</v>
      </c>
      <c r="R23" s="3">
        <v>0</v>
      </c>
      <c r="S23" s="3">
        <v>0</v>
      </c>
      <c r="T23" s="5" t="s">
        <v>38</v>
      </c>
      <c r="U23" s="5" t="s">
        <v>315</v>
      </c>
      <c r="V23" s="5" t="s">
        <v>316</v>
      </c>
      <c r="W23" s="5" t="s">
        <v>317</v>
      </c>
      <c r="X23" s="5" t="s">
        <v>318</v>
      </c>
    </row>
    <row r="24" spans="1:24" ht="45" x14ac:dyDescent="0.25">
      <c r="A24" s="2">
        <v>23</v>
      </c>
      <c r="B24" s="2" t="s">
        <v>319</v>
      </c>
      <c r="C24" s="2" t="s">
        <v>320</v>
      </c>
      <c r="D24" s="2" t="s">
        <v>321</v>
      </c>
      <c r="E24" s="2" t="s">
        <v>322</v>
      </c>
      <c r="F24" s="2" t="s">
        <v>323</v>
      </c>
      <c r="G24" s="2" t="s">
        <v>324</v>
      </c>
      <c r="H24" s="2" t="s">
        <v>113</v>
      </c>
      <c r="I24" s="2" t="s">
        <v>79</v>
      </c>
      <c r="J24" s="2" t="s">
        <v>325</v>
      </c>
      <c r="K24" s="2" t="s">
        <v>326</v>
      </c>
      <c r="L24" s="2" t="s">
        <v>327</v>
      </c>
      <c r="M24" s="2" t="s">
        <v>328</v>
      </c>
      <c r="N24" s="2" t="s">
        <v>329</v>
      </c>
      <c r="O24" s="3">
        <v>0</v>
      </c>
      <c r="P24" s="3">
        <v>0</v>
      </c>
      <c r="Q24" s="4">
        <v>1</v>
      </c>
      <c r="R24" s="3">
        <v>0</v>
      </c>
      <c r="S24" s="3">
        <v>0</v>
      </c>
      <c r="T24" s="2" t="s">
        <v>221</v>
      </c>
      <c r="U24" s="2" t="s">
        <v>330</v>
      </c>
      <c r="V24" s="2" t="s">
        <v>331</v>
      </c>
      <c r="W24" s="2" t="s">
        <v>332</v>
      </c>
      <c r="X24" s="2" t="s">
        <v>333</v>
      </c>
    </row>
    <row r="25" spans="1:24" ht="30" x14ac:dyDescent="0.25">
      <c r="A25" s="5">
        <v>24</v>
      </c>
      <c r="B25" s="5" t="s">
        <v>334</v>
      </c>
      <c r="C25" s="5" t="s">
        <v>335</v>
      </c>
      <c r="D25" s="5" t="s">
        <v>336</v>
      </c>
      <c r="E25" s="5" t="s">
        <v>160</v>
      </c>
      <c r="F25" s="5" t="s">
        <v>337</v>
      </c>
      <c r="G25" s="5" t="s">
        <v>338</v>
      </c>
      <c r="H25" s="5" t="s">
        <v>147</v>
      </c>
      <c r="I25" s="5" t="s">
        <v>63</v>
      </c>
      <c r="J25" s="5" t="s">
        <v>339</v>
      </c>
      <c r="K25" s="5" t="s">
        <v>340</v>
      </c>
      <c r="L25" s="5" t="s">
        <v>341</v>
      </c>
      <c r="M25" s="5" t="s">
        <v>342</v>
      </c>
      <c r="N25" s="5" t="s">
        <v>343</v>
      </c>
      <c r="O25" s="4">
        <v>1</v>
      </c>
      <c r="P25" s="4">
        <v>1</v>
      </c>
      <c r="Q25" s="4">
        <v>1</v>
      </c>
      <c r="R25" s="4">
        <v>1</v>
      </c>
      <c r="S25" s="3">
        <v>0</v>
      </c>
      <c r="T25" s="5" t="s">
        <v>152</v>
      </c>
      <c r="U25" s="5" t="s">
        <v>235</v>
      </c>
      <c r="V25" s="5" t="s">
        <v>344</v>
      </c>
      <c r="W25" s="5" t="s">
        <v>345</v>
      </c>
      <c r="X25" s="5" t="s">
        <v>346</v>
      </c>
    </row>
    <row r="26" spans="1:24" ht="30" x14ac:dyDescent="0.25">
      <c r="A26" s="2">
        <v>25</v>
      </c>
      <c r="B26" s="2" t="s">
        <v>347</v>
      </c>
      <c r="C26" s="2" t="s">
        <v>144</v>
      </c>
      <c r="D26" s="2" t="s">
        <v>348</v>
      </c>
      <c r="E26" s="2" t="s">
        <v>160</v>
      </c>
      <c r="F26" s="2" t="s">
        <v>349</v>
      </c>
      <c r="G26" s="2" t="s">
        <v>282</v>
      </c>
      <c r="H26" s="2" t="s">
        <v>283</v>
      </c>
      <c r="I26" s="2" t="s">
        <v>350</v>
      </c>
      <c r="J26" s="2" t="s">
        <v>31</v>
      </c>
      <c r="K26" s="2" t="s">
        <v>351</v>
      </c>
      <c r="L26" s="2" t="s">
        <v>352</v>
      </c>
      <c r="M26" s="2" t="s">
        <v>353</v>
      </c>
      <c r="N26" s="2" t="s">
        <v>354</v>
      </c>
      <c r="O26" s="4">
        <v>1</v>
      </c>
      <c r="P26" s="3">
        <v>0</v>
      </c>
      <c r="Q26" s="4">
        <v>1</v>
      </c>
      <c r="R26" s="4">
        <v>1</v>
      </c>
      <c r="S26" s="3">
        <v>0</v>
      </c>
      <c r="T26" s="2" t="s">
        <v>37</v>
      </c>
      <c r="U26" s="2" t="s">
        <v>287</v>
      </c>
      <c r="V26" s="2" t="s">
        <v>355</v>
      </c>
      <c r="W26" s="2" t="s">
        <v>356</v>
      </c>
      <c r="X26" s="2" t="s">
        <v>357</v>
      </c>
    </row>
    <row r="27" spans="1:24" ht="45" x14ac:dyDescent="0.25">
      <c r="A27" s="5">
        <v>26</v>
      </c>
      <c r="B27" s="5" t="s">
        <v>358</v>
      </c>
      <c r="C27" s="5" t="s">
        <v>359</v>
      </c>
      <c r="D27" s="5" t="s">
        <v>26</v>
      </c>
      <c r="E27" s="5" t="s">
        <v>160</v>
      </c>
      <c r="F27" s="5" t="s">
        <v>45</v>
      </c>
      <c r="G27" s="5" t="s">
        <v>29</v>
      </c>
      <c r="H27" s="5" t="s">
        <v>46</v>
      </c>
      <c r="I27" s="5" t="s">
        <v>47</v>
      </c>
      <c r="J27" s="5" t="s">
        <v>257</v>
      </c>
      <c r="K27" s="5" t="s">
        <v>360</v>
      </c>
      <c r="L27" s="5" t="s">
        <v>361</v>
      </c>
      <c r="M27" s="5" t="s">
        <v>362</v>
      </c>
      <c r="N27" s="5" t="s">
        <v>363</v>
      </c>
      <c r="O27" s="4">
        <v>1</v>
      </c>
      <c r="P27" s="3">
        <v>0</v>
      </c>
      <c r="Q27" s="4">
        <v>1</v>
      </c>
      <c r="R27" s="3">
        <v>0</v>
      </c>
      <c r="S27" s="3">
        <v>0</v>
      </c>
      <c r="T27" s="5" t="s">
        <v>147</v>
      </c>
      <c r="U27" s="5" t="s">
        <v>364</v>
      </c>
      <c r="V27" s="5" t="s">
        <v>365</v>
      </c>
      <c r="W27" s="5" t="s">
        <v>366</v>
      </c>
      <c r="X27" s="5" t="s">
        <v>367</v>
      </c>
    </row>
    <row r="28" spans="1:24" ht="30" x14ac:dyDescent="0.25">
      <c r="A28" s="2">
        <v>27</v>
      </c>
      <c r="B28" s="2" t="s">
        <v>368</v>
      </c>
      <c r="C28" s="2" t="s">
        <v>369</v>
      </c>
      <c r="D28" s="2" t="s">
        <v>370</v>
      </c>
      <c r="E28" s="2" t="s">
        <v>160</v>
      </c>
      <c r="F28" s="2" t="s">
        <v>371</v>
      </c>
      <c r="G28" s="2" t="s">
        <v>270</v>
      </c>
      <c r="H28" s="2" t="s">
        <v>46</v>
      </c>
      <c r="I28" s="2" t="s">
        <v>372</v>
      </c>
      <c r="J28" s="2" t="s">
        <v>31</v>
      </c>
      <c r="K28" s="2" t="s">
        <v>373</v>
      </c>
      <c r="L28" s="2" t="s">
        <v>374</v>
      </c>
      <c r="M28" s="2" t="s">
        <v>375</v>
      </c>
      <c r="N28" s="2" t="s">
        <v>376</v>
      </c>
      <c r="O28" s="3">
        <v>0</v>
      </c>
      <c r="P28" s="3">
        <v>0</v>
      </c>
      <c r="Q28" s="4">
        <v>1</v>
      </c>
      <c r="R28" s="4">
        <v>1</v>
      </c>
      <c r="S28" s="3">
        <v>0</v>
      </c>
      <c r="T28" s="2" t="s">
        <v>234</v>
      </c>
      <c r="U28" s="2" t="s">
        <v>377</v>
      </c>
      <c r="V28" s="2" t="s">
        <v>378</v>
      </c>
      <c r="W28" s="2" t="s">
        <v>379</v>
      </c>
      <c r="X28" s="2" t="s">
        <v>380</v>
      </c>
    </row>
    <row r="29" spans="1:24" ht="45" x14ac:dyDescent="0.25">
      <c r="A29" s="5">
        <v>28</v>
      </c>
      <c r="B29" s="5" t="s">
        <v>381</v>
      </c>
      <c r="C29" s="5" t="s">
        <v>144</v>
      </c>
      <c r="D29" s="5" t="s">
        <v>382</v>
      </c>
      <c r="E29" s="5" t="s">
        <v>383</v>
      </c>
      <c r="F29" s="5" t="s">
        <v>384</v>
      </c>
      <c r="G29" s="5" t="s">
        <v>29</v>
      </c>
      <c r="H29" s="5" t="s">
        <v>46</v>
      </c>
      <c r="I29" s="5" t="s">
        <v>296</v>
      </c>
      <c r="J29" s="5" t="s">
        <v>47</v>
      </c>
      <c r="K29" s="5" t="s">
        <v>385</v>
      </c>
      <c r="L29" s="5" t="s">
        <v>386</v>
      </c>
      <c r="M29" s="5" t="s">
        <v>387</v>
      </c>
      <c r="N29" s="5" t="s">
        <v>388</v>
      </c>
      <c r="O29" s="4">
        <v>1</v>
      </c>
      <c r="P29" s="3">
        <v>0</v>
      </c>
      <c r="Q29" s="4">
        <v>1</v>
      </c>
      <c r="R29" s="3">
        <v>0</v>
      </c>
      <c r="S29" s="3">
        <v>0</v>
      </c>
      <c r="T29" s="5" t="s">
        <v>38</v>
      </c>
      <c r="U29" s="5" t="s">
        <v>389</v>
      </c>
      <c r="V29" s="5" t="s">
        <v>390</v>
      </c>
      <c r="W29" s="5" t="s">
        <v>391</v>
      </c>
      <c r="X29" s="5" t="s">
        <v>392</v>
      </c>
    </row>
    <row r="30" spans="1:24" ht="45" x14ac:dyDescent="0.25">
      <c r="A30" s="2">
        <v>29</v>
      </c>
      <c r="B30" s="2" t="s">
        <v>393</v>
      </c>
      <c r="C30" s="2" t="s">
        <v>394</v>
      </c>
      <c r="D30" s="2" t="s">
        <v>395</v>
      </c>
      <c r="E30" s="2" t="s">
        <v>396</v>
      </c>
      <c r="F30" s="2" t="s">
        <v>397</v>
      </c>
      <c r="G30" s="2" t="s">
        <v>398</v>
      </c>
      <c r="H30" s="2" t="s">
        <v>46</v>
      </c>
      <c r="I30" s="2" t="s">
        <v>399</v>
      </c>
      <c r="J30" s="2" t="s">
        <v>31</v>
      </c>
      <c r="K30" s="2" t="s">
        <v>400</v>
      </c>
      <c r="L30" s="2" t="s">
        <v>401</v>
      </c>
      <c r="M30" s="2" t="s">
        <v>402</v>
      </c>
      <c r="N30" s="2" t="s">
        <v>403</v>
      </c>
      <c r="O30" s="3">
        <v>0</v>
      </c>
      <c r="P30" s="3">
        <v>0</v>
      </c>
      <c r="Q30" s="4">
        <v>1</v>
      </c>
      <c r="R30" s="3">
        <v>0</v>
      </c>
      <c r="S30" s="3">
        <v>0</v>
      </c>
      <c r="T30" s="2" t="s">
        <v>152</v>
      </c>
      <c r="U30" s="2" t="s">
        <v>404</v>
      </c>
      <c r="V30" s="2" t="s">
        <v>405</v>
      </c>
      <c r="W30" s="2" t="s">
        <v>406</v>
      </c>
      <c r="X30" s="2" t="s">
        <v>407</v>
      </c>
    </row>
    <row r="31" spans="1:24" ht="45" x14ac:dyDescent="0.25">
      <c r="A31" s="5">
        <v>30</v>
      </c>
      <c r="B31" s="5" t="s">
        <v>408</v>
      </c>
      <c r="C31" s="5" t="s">
        <v>227</v>
      </c>
      <c r="D31" s="5" t="s">
        <v>409</v>
      </c>
      <c r="E31" s="5" t="s">
        <v>410</v>
      </c>
      <c r="F31" s="5" t="s">
        <v>411</v>
      </c>
      <c r="G31" s="5" t="s">
        <v>29</v>
      </c>
      <c r="H31" s="5" t="s">
        <v>162</v>
      </c>
      <c r="I31" s="5" t="s">
        <v>189</v>
      </c>
      <c r="J31" s="5" t="s">
        <v>339</v>
      </c>
      <c r="K31" s="5" t="s">
        <v>412</v>
      </c>
      <c r="L31" s="5" t="s">
        <v>413</v>
      </c>
      <c r="M31" s="5" t="s">
        <v>414</v>
      </c>
      <c r="N31" s="5" t="s">
        <v>415</v>
      </c>
      <c r="O31" s="3">
        <v>0</v>
      </c>
      <c r="P31" s="3">
        <v>0</v>
      </c>
      <c r="Q31" s="4">
        <v>1</v>
      </c>
      <c r="R31" s="3">
        <v>0</v>
      </c>
      <c r="S31" s="4">
        <v>1</v>
      </c>
      <c r="T31" s="5" t="s">
        <v>38</v>
      </c>
      <c r="U31" s="5" t="s">
        <v>235</v>
      </c>
      <c r="V31" s="5" t="s">
        <v>416</v>
      </c>
      <c r="W31" s="5" t="s">
        <v>417</v>
      </c>
      <c r="X31" s="5" t="s">
        <v>418</v>
      </c>
    </row>
    <row r="32" spans="1:24" ht="45" x14ac:dyDescent="0.25">
      <c r="A32" s="2">
        <v>31</v>
      </c>
      <c r="B32" s="2" t="s">
        <v>419</v>
      </c>
      <c r="C32" s="2" t="s">
        <v>420</v>
      </c>
      <c r="D32" s="2" t="s">
        <v>307</v>
      </c>
      <c r="E32" s="2" t="s">
        <v>160</v>
      </c>
      <c r="F32" s="2" t="s">
        <v>421</v>
      </c>
      <c r="G32" s="2" t="s">
        <v>282</v>
      </c>
      <c r="H32" s="2" t="s">
        <v>46</v>
      </c>
      <c r="I32" s="2" t="s">
        <v>422</v>
      </c>
      <c r="J32" s="2" t="s">
        <v>739</v>
      </c>
      <c r="K32" s="2" t="s">
        <v>423</v>
      </c>
      <c r="L32" s="2" t="s">
        <v>424</v>
      </c>
      <c r="M32" s="2" t="s">
        <v>425</v>
      </c>
      <c r="N32" s="2" t="s">
        <v>426</v>
      </c>
      <c r="O32" s="4">
        <v>1</v>
      </c>
      <c r="P32" s="4">
        <v>1</v>
      </c>
      <c r="Q32" s="4">
        <v>1</v>
      </c>
      <c r="R32" s="4">
        <v>1</v>
      </c>
      <c r="S32" s="3">
        <v>0</v>
      </c>
      <c r="T32" s="2" t="s">
        <v>234</v>
      </c>
      <c r="U32" s="2" t="s">
        <v>287</v>
      </c>
      <c r="V32" s="2" t="s">
        <v>427</v>
      </c>
      <c r="W32" s="2" t="s">
        <v>428</v>
      </c>
      <c r="X32" s="2" t="s">
        <v>429</v>
      </c>
    </row>
    <row r="33" spans="1:24" ht="45" x14ac:dyDescent="0.25">
      <c r="A33" s="5">
        <v>32</v>
      </c>
      <c r="B33" s="5" t="s">
        <v>430</v>
      </c>
      <c r="C33" s="5" t="s">
        <v>431</v>
      </c>
      <c r="D33" s="5" t="s">
        <v>26</v>
      </c>
      <c r="E33" s="5" t="s">
        <v>878</v>
      </c>
      <c r="F33" s="5" t="s">
        <v>432</v>
      </c>
      <c r="G33" s="5" t="s">
        <v>29</v>
      </c>
      <c r="H33" s="5" t="s">
        <v>147</v>
      </c>
      <c r="I33" s="5" t="s">
        <v>202</v>
      </c>
      <c r="J33" s="5" t="s">
        <v>125</v>
      </c>
      <c r="K33" s="5" t="s">
        <v>433</v>
      </c>
      <c r="L33" s="5" t="s">
        <v>434</v>
      </c>
      <c r="M33" s="5" t="s">
        <v>150</v>
      </c>
      <c r="N33" s="5" t="s">
        <v>435</v>
      </c>
      <c r="O33" s="3">
        <v>0</v>
      </c>
      <c r="P33" s="3">
        <v>0</v>
      </c>
      <c r="Q33" s="4">
        <v>1</v>
      </c>
      <c r="R33" s="3">
        <v>0</v>
      </c>
      <c r="S33" s="4">
        <v>1</v>
      </c>
      <c r="T33" s="5" t="s">
        <v>152</v>
      </c>
      <c r="U33" s="5" t="s">
        <v>315</v>
      </c>
      <c r="V33" s="5" t="s">
        <v>436</v>
      </c>
      <c r="W33" s="5" t="s">
        <v>437</v>
      </c>
      <c r="X33" s="5" t="s">
        <v>438</v>
      </c>
    </row>
    <row r="34" spans="1:24" ht="30" x14ac:dyDescent="0.25">
      <c r="A34" s="2">
        <v>33</v>
      </c>
      <c r="B34" s="2" t="s">
        <v>439</v>
      </c>
      <c r="C34" s="2" t="s">
        <v>440</v>
      </c>
      <c r="D34" s="2" t="s">
        <v>395</v>
      </c>
      <c r="E34" s="2" t="s">
        <v>160</v>
      </c>
      <c r="F34" s="2" t="s">
        <v>337</v>
      </c>
      <c r="G34" s="2" t="s">
        <v>441</v>
      </c>
      <c r="H34" s="2" t="s">
        <v>46</v>
      </c>
      <c r="I34" s="2" t="s">
        <v>31</v>
      </c>
      <c r="J34" s="2" t="s">
        <v>739</v>
      </c>
      <c r="K34" s="2" t="s">
        <v>442</v>
      </c>
      <c r="L34" s="2" t="s">
        <v>443</v>
      </c>
      <c r="M34" s="2" t="s">
        <v>444</v>
      </c>
      <c r="N34" s="2" t="s">
        <v>445</v>
      </c>
      <c r="O34" s="4">
        <v>1</v>
      </c>
      <c r="P34" s="4">
        <v>1</v>
      </c>
      <c r="Q34" s="4">
        <v>1</v>
      </c>
      <c r="R34" s="4">
        <v>1</v>
      </c>
      <c r="S34" s="3">
        <v>0</v>
      </c>
      <c r="T34" s="2" t="s">
        <v>152</v>
      </c>
      <c r="U34" s="2" t="s">
        <v>446</v>
      </c>
      <c r="V34" s="2" t="s">
        <v>447</v>
      </c>
      <c r="W34" s="2" t="s">
        <v>448</v>
      </c>
      <c r="X34" s="2" t="s">
        <v>449</v>
      </c>
    </row>
    <row r="35" spans="1:24" ht="45" x14ac:dyDescent="0.25">
      <c r="A35" s="5">
        <v>34</v>
      </c>
      <c r="B35" s="5" t="s">
        <v>450</v>
      </c>
      <c r="C35" s="5" t="s">
        <v>451</v>
      </c>
      <c r="D35" s="5" t="s">
        <v>452</v>
      </c>
      <c r="E35" s="5" t="s">
        <v>453</v>
      </c>
      <c r="F35" s="5" t="s">
        <v>45</v>
      </c>
      <c r="G35" s="5" t="s">
        <v>454</v>
      </c>
      <c r="H35" s="5" t="s">
        <v>46</v>
      </c>
      <c r="I35" s="5" t="s">
        <v>455</v>
      </c>
      <c r="J35" s="5" t="s">
        <v>456</v>
      </c>
      <c r="K35" s="5" t="s">
        <v>457</v>
      </c>
      <c r="L35" s="5" t="s">
        <v>458</v>
      </c>
      <c r="M35" s="5" t="s">
        <v>459</v>
      </c>
      <c r="N35" s="5" t="s">
        <v>460</v>
      </c>
      <c r="O35" s="3">
        <v>0</v>
      </c>
      <c r="P35" s="3">
        <v>0</v>
      </c>
      <c r="Q35" s="4">
        <v>1</v>
      </c>
      <c r="R35" s="3">
        <v>0</v>
      </c>
      <c r="S35" s="3">
        <v>0</v>
      </c>
      <c r="T35" s="5" t="s">
        <v>221</v>
      </c>
      <c r="U35" s="5" t="s">
        <v>461</v>
      </c>
      <c r="V35" s="5" t="s">
        <v>462</v>
      </c>
      <c r="W35" s="5" t="s">
        <v>463</v>
      </c>
      <c r="X35" s="5" t="s">
        <v>464</v>
      </c>
    </row>
    <row r="36" spans="1:24" ht="45" x14ac:dyDescent="0.25">
      <c r="A36" s="2">
        <v>35</v>
      </c>
      <c r="B36" s="2" t="s">
        <v>465</v>
      </c>
      <c r="C36" s="2" t="s">
        <v>466</v>
      </c>
      <c r="D36" s="2" t="s">
        <v>26</v>
      </c>
      <c r="E36" s="2" t="s">
        <v>160</v>
      </c>
      <c r="F36" s="2" t="s">
        <v>467</v>
      </c>
      <c r="G36" s="2" t="s">
        <v>29</v>
      </c>
      <c r="H36" s="2" t="s">
        <v>46</v>
      </c>
      <c r="I36" s="2" t="s">
        <v>47</v>
      </c>
      <c r="J36" s="2" t="s">
        <v>468</v>
      </c>
      <c r="K36" s="2" t="s">
        <v>469</v>
      </c>
      <c r="L36" s="2" t="s">
        <v>470</v>
      </c>
      <c r="M36" s="2" t="s">
        <v>471</v>
      </c>
      <c r="N36" s="2" t="s">
        <v>472</v>
      </c>
      <c r="O36" s="4">
        <v>1</v>
      </c>
      <c r="P36" s="3">
        <v>0</v>
      </c>
      <c r="Q36" s="3">
        <v>0</v>
      </c>
      <c r="R36" s="4">
        <v>1</v>
      </c>
      <c r="S36" s="4">
        <v>1</v>
      </c>
      <c r="T36" s="2" t="s">
        <v>38</v>
      </c>
      <c r="U36" s="2" t="s">
        <v>315</v>
      </c>
      <c r="V36" s="2" t="s">
        <v>473</v>
      </c>
      <c r="W36" s="2" t="s">
        <v>474</v>
      </c>
      <c r="X36" s="2" t="s">
        <v>475</v>
      </c>
    </row>
    <row r="37" spans="1:24" ht="45" x14ac:dyDescent="0.25">
      <c r="A37" s="5">
        <v>36</v>
      </c>
      <c r="B37" s="5" t="s">
        <v>476</v>
      </c>
      <c r="C37" s="5" t="s">
        <v>466</v>
      </c>
      <c r="D37" s="5" t="s">
        <v>307</v>
      </c>
      <c r="E37" s="5" t="s">
        <v>160</v>
      </c>
      <c r="F37" s="5" t="s">
        <v>45</v>
      </c>
      <c r="G37" s="5" t="s">
        <v>29</v>
      </c>
      <c r="H37" s="5" t="s">
        <v>46</v>
      </c>
      <c r="I37" s="5" t="s">
        <v>31</v>
      </c>
      <c r="J37" s="5" t="s">
        <v>32</v>
      </c>
      <c r="K37" s="5" t="s">
        <v>477</v>
      </c>
      <c r="L37" s="5" t="s">
        <v>478</v>
      </c>
      <c r="M37" s="5" t="s">
        <v>479</v>
      </c>
      <c r="N37" s="5" t="s">
        <v>480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5" t="s">
        <v>38</v>
      </c>
      <c r="U37" s="5" t="s">
        <v>481</v>
      </c>
      <c r="V37" s="5" t="s">
        <v>482</v>
      </c>
      <c r="W37" s="5" t="s">
        <v>483</v>
      </c>
      <c r="X37" s="5" t="s">
        <v>484</v>
      </c>
    </row>
    <row r="38" spans="1:24" ht="45" x14ac:dyDescent="0.25">
      <c r="A38" s="2">
        <v>37</v>
      </c>
      <c r="B38" s="2" t="s">
        <v>485</v>
      </c>
      <c r="C38" s="2" t="s">
        <v>486</v>
      </c>
      <c r="D38" s="2" t="s">
        <v>110</v>
      </c>
      <c r="E38" s="2" t="s">
        <v>487</v>
      </c>
      <c r="F38" s="2" t="s">
        <v>488</v>
      </c>
      <c r="G38" s="2" t="s">
        <v>29</v>
      </c>
      <c r="H38" s="2" t="s">
        <v>46</v>
      </c>
      <c r="I38" s="2" t="s">
        <v>489</v>
      </c>
      <c r="J38" s="2" t="s">
        <v>739</v>
      </c>
      <c r="K38" s="2" t="s">
        <v>490</v>
      </c>
      <c r="L38" s="2" t="s">
        <v>491</v>
      </c>
      <c r="M38" s="2" t="s">
        <v>425</v>
      </c>
      <c r="N38" s="2" t="s">
        <v>492</v>
      </c>
      <c r="O38" s="4">
        <v>1</v>
      </c>
      <c r="P38" s="4">
        <v>1</v>
      </c>
      <c r="Q38" s="3">
        <v>0</v>
      </c>
      <c r="R38" s="3">
        <v>0</v>
      </c>
      <c r="S38" s="3">
        <v>0</v>
      </c>
      <c r="T38" s="2" t="s">
        <v>38</v>
      </c>
      <c r="U38" s="2" t="s">
        <v>315</v>
      </c>
      <c r="V38" s="2" t="s">
        <v>493</v>
      </c>
      <c r="W38" s="2" t="s">
        <v>494</v>
      </c>
      <c r="X38" s="2" t="s">
        <v>495</v>
      </c>
    </row>
    <row r="39" spans="1:24" ht="45" x14ac:dyDescent="0.25">
      <c r="A39" s="5">
        <v>38</v>
      </c>
      <c r="B39" s="5" t="s">
        <v>496</v>
      </c>
      <c r="C39" s="5" t="s">
        <v>497</v>
      </c>
      <c r="D39" s="5" t="s">
        <v>498</v>
      </c>
      <c r="E39" s="5" t="s">
        <v>499</v>
      </c>
      <c r="F39" s="5" t="s">
        <v>500</v>
      </c>
      <c r="G39" s="5" t="s">
        <v>29</v>
      </c>
      <c r="H39" s="5" t="s">
        <v>46</v>
      </c>
      <c r="I39" s="5" t="s">
        <v>296</v>
      </c>
      <c r="J39" s="5" t="s">
        <v>79</v>
      </c>
      <c r="K39" s="5" t="s">
        <v>501</v>
      </c>
      <c r="L39" s="5" t="s">
        <v>502</v>
      </c>
      <c r="M39" s="5" t="s">
        <v>503</v>
      </c>
      <c r="N39" s="5" t="s">
        <v>504</v>
      </c>
      <c r="O39" s="3">
        <v>0</v>
      </c>
      <c r="P39" s="3">
        <v>0</v>
      </c>
      <c r="Q39" s="4">
        <v>1</v>
      </c>
      <c r="R39" s="3">
        <v>0</v>
      </c>
      <c r="S39" s="3">
        <v>0</v>
      </c>
      <c r="T39" s="5" t="s">
        <v>147</v>
      </c>
      <c r="U39" s="5" t="s">
        <v>235</v>
      </c>
      <c r="V39" s="5" t="s">
        <v>505</v>
      </c>
      <c r="W39" s="5" t="s">
        <v>506</v>
      </c>
      <c r="X39" s="5" t="s">
        <v>507</v>
      </c>
    </row>
    <row r="40" spans="1:24" ht="45" x14ac:dyDescent="0.25">
      <c r="A40" s="2">
        <v>39</v>
      </c>
      <c r="B40" s="2" t="s">
        <v>508</v>
      </c>
      <c r="C40" s="2" t="s">
        <v>466</v>
      </c>
      <c r="D40" s="2" t="s">
        <v>26</v>
      </c>
      <c r="E40" s="2" t="s">
        <v>160</v>
      </c>
      <c r="F40" s="2" t="s">
        <v>45</v>
      </c>
      <c r="G40" s="2" t="s">
        <v>29</v>
      </c>
      <c r="H40" s="2" t="s">
        <v>46</v>
      </c>
      <c r="I40" s="2" t="s">
        <v>31</v>
      </c>
      <c r="J40" s="2" t="s">
        <v>32</v>
      </c>
      <c r="K40" s="2" t="s">
        <v>509</v>
      </c>
      <c r="L40" s="2" t="s">
        <v>478</v>
      </c>
      <c r="M40" s="2" t="s">
        <v>510</v>
      </c>
      <c r="N40" s="2" t="s">
        <v>511</v>
      </c>
      <c r="O40" s="4">
        <v>1</v>
      </c>
      <c r="P40" s="3">
        <v>0</v>
      </c>
      <c r="Q40" s="4">
        <v>1</v>
      </c>
      <c r="R40" s="4">
        <v>1</v>
      </c>
      <c r="S40" s="3">
        <v>0</v>
      </c>
      <c r="T40" s="2" t="s">
        <v>38</v>
      </c>
      <c r="U40" s="2" t="s">
        <v>481</v>
      </c>
      <c r="V40" s="2" t="s">
        <v>512</v>
      </c>
      <c r="W40" s="2" t="s">
        <v>513</v>
      </c>
      <c r="X40" s="2" t="s">
        <v>514</v>
      </c>
    </row>
    <row r="41" spans="1:24" ht="45" x14ac:dyDescent="0.25">
      <c r="A41" s="5">
        <v>40</v>
      </c>
      <c r="B41" s="5" t="s">
        <v>515</v>
      </c>
      <c r="C41" s="5" t="s">
        <v>369</v>
      </c>
      <c r="D41" s="5" t="s">
        <v>26</v>
      </c>
      <c r="E41" s="5" t="s">
        <v>160</v>
      </c>
      <c r="F41" s="5" t="s">
        <v>516</v>
      </c>
      <c r="G41" s="5" t="s">
        <v>29</v>
      </c>
      <c r="H41" s="5" t="s">
        <v>46</v>
      </c>
      <c r="I41" s="5" t="s">
        <v>87</v>
      </c>
      <c r="J41" s="5" t="s">
        <v>296</v>
      </c>
      <c r="K41" s="5" t="s">
        <v>517</v>
      </c>
      <c r="L41" s="5" t="s">
        <v>518</v>
      </c>
      <c r="M41" s="5" t="s">
        <v>519</v>
      </c>
      <c r="N41" s="5" t="s">
        <v>520</v>
      </c>
      <c r="O41" s="3">
        <v>0</v>
      </c>
      <c r="P41" s="3">
        <v>0</v>
      </c>
      <c r="Q41" s="4">
        <v>1</v>
      </c>
      <c r="R41" s="3">
        <v>0</v>
      </c>
      <c r="S41" s="3">
        <v>0</v>
      </c>
      <c r="T41" s="5" t="s">
        <v>234</v>
      </c>
      <c r="U41" s="5" t="s">
        <v>521</v>
      </c>
      <c r="V41" s="5" t="s">
        <v>522</v>
      </c>
      <c r="W41" s="5" t="s">
        <v>523</v>
      </c>
      <c r="X41" s="5" t="s">
        <v>524</v>
      </c>
    </row>
    <row r="42" spans="1:24" ht="45" x14ac:dyDescent="0.25">
      <c r="A42" s="2">
        <v>41</v>
      </c>
      <c r="B42" s="2" t="s">
        <v>525</v>
      </c>
      <c r="C42" s="2" t="s">
        <v>526</v>
      </c>
      <c r="D42" s="2" t="s">
        <v>527</v>
      </c>
      <c r="E42" s="2" t="s">
        <v>145</v>
      </c>
      <c r="F42" s="2" t="s">
        <v>214</v>
      </c>
      <c r="G42" s="2" t="s">
        <v>454</v>
      </c>
      <c r="H42" s="2" t="s">
        <v>528</v>
      </c>
      <c r="I42" s="2" t="s">
        <v>125</v>
      </c>
      <c r="J42" s="2" t="s">
        <v>87</v>
      </c>
      <c r="K42" s="2" t="s">
        <v>529</v>
      </c>
      <c r="L42" s="2" t="s">
        <v>530</v>
      </c>
      <c r="M42" s="2" t="s">
        <v>531</v>
      </c>
      <c r="N42" s="2" t="s">
        <v>532</v>
      </c>
      <c r="O42" s="3">
        <v>0</v>
      </c>
      <c r="P42" s="3">
        <v>0</v>
      </c>
      <c r="Q42" s="3">
        <v>0</v>
      </c>
      <c r="R42" s="3">
        <v>0</v>
      </c>
      <c r="S42" s="4">
        <v>1</v>
      </c>
      <c r="T42" s="2" t="s">
        <v>152</v>
      </c>
      <c r="U42" s="2" t="s">
        <v>461</v>
      </c>
      <c r="V42" s="2" t="s">
        <v>533</v>
      </c>
      <c r="W42" s="2" t="s">
        <v>534</v>
      </c>
      <c r="X42" s="2" t="s">
        <v>535</v>
      </c>
    </row>
    <row r="43" spans="1:24" ht="30" x14ac:dyDescent="0.25">
      <c r="A43" s="5">
        <v>42</v>
      </c>
      <c r="B43" s="5" t="s">
        <v>536</v>
      </c>
      <c r="C43" s="5" t="s">
        <v>537</v>
      </c>
      <c r="D43" s="5" t="s">
        <v>395</v>
      </c>
      <c r="E43" s="5" t="s">
        <v>160</v>
      </c>
      <c r="F43" s="5" t="s">
        <v>45</v>
      </c>
      <c r="G43" s="5" t="s">
        <v>538</v>
      </c>
      <c r="H43" s="5" t="s">
        <v>46</v>
      </c>
      <c r="I43" s="5" t="s">
        <v>539</v>
      </c>
      <c r="J43" s="5" t="s">
        <v>739</v>
      </c>
      <c r="K43" s="5" t="s">
        <v>540</v>
      </c>
      <c r="L43" s="5" t="s">
        <v>541</v>
      </c>
      <c r="M43" s="5" t="s">
        <v>542</v>
      </c>
      <c r="N43" s="5" t="s">
        <v>543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5" t="s">
        <v>152</v>
      </c>
      <c r="U43" s="5" t="s">
        <v>544</v>
      </c>
      <c r="V43" s="5" t="s">
        <v>545</v>
      </c>
      <c r="W43" s="5" t="s">
        <v>546</v>
      </c>
      <c r="X43" s="5" t="s">
        <v>547</v>
      </c>
    </row>
    <row r="44" spans="1:24" ht="45" x14ac:dyDescent="0.25">
      <c r="A44" s="2">
        <v>43</v>
      </c>
      <c r="B44" s="2" t="s">
        <v>548</v>
      </c>
      <c r="C44" s="2" t="s">
        <v>549</v>
      </c>
      <c r="D44" s="2" t="s">
        <v>550</v>
      </c>
      <c r="E44" s="2" t="s">
        <v>551</v>
      </c>
      <c r="F44" s="2" t="s">
        <v>552</v>
      </c>
      <c r="G44" s="2" t="s">
        <v>29</v>
      </c>
      <c r="H44" s="2" t="s">
        <v>46</v>
      </c>
      <c r="I44" s="2" t="s">
        <v>553</v>
      </c>
      <c r="J44" s="2" t="s">
        <v>296</v>
      </c>
      <c r="K44" s="2" t="s">
        <v>554</v>
      </c>
      <c r="L44" s="2" t="s">
        <v>555</v>
      </c>
      <c r="M44" s="2" t="s">
        <v>556</v>
      </c>
      <c r="N44" s="2" t="s">
        <v>557</v>
      </c>
      <c r="O44" s="4">
        <v>1</v>
      </c>
      <c r="P44" s="3">
        <v>0</v>
      </c>
      <c r="Q44" s="4">
        <v>1</v>
      </c>
      <c r="R44" s="4">
        <v>1</v>
      </c>
      <c r="S44" s="4">
        <v>1</v>
      </c>
      <c r="T44" s="2" t="s">
        <v>38</v>
      </c>
      <c r="U44" s="2" t="s">
        <v>315</v>
      </c>
      <c r="V44" s="2" t="s">
        <v>558</v>
      </c>
      <c r="W44" s="2" t="s">
        <v>559</v>
      </c>
      <c r="X44" s="2" t="s">
        <v>560</v>
      </c>
    </row>
    <row r="45" spans="1:24" ht="45" x14ac:dyDescent="0.25">
      <c r="A45" s="5">
        <v>44</v>
      </c>
      <c r="B45" s="5" t="s">
        <v>561</v>
      </c>
      <c r="C45" s="5" t="s">
        <v>562</v>
      </c>
      <c r="D45" s="5" t="s">
        <v>307</v>
      </c>
      <c r="E45" s="5" t="s">
        <v>881</v>
      </c>
      <c r="F45" s="5" t="s">
        <v>214</v>
      </c>
      <c r="G45" s="5" t="s">
        <v>29</v>
      </c>
      <c r="H45" s="5" t="s">
        <v>563</v>
      </c>
      <c r="I45" s="5" t="s">
        <v>63</v>
      </c>
      <c r="J45" s="5" t="s">
        <v>564</v>
      </c>
      <c r="K45" s="5" t="s">
        <v>565</v>
      </c>
      <c r="L45" s="5" t="s">
        <v>566</v>
      </c>
      <c r="M45" s="5" t="s">
        <v>567</v>
      </c>
      <c r="N45" s="5" t="s">
        <v>568</v>
      </c>
      <c r="O45" s="4">
        <v>1</v>
      </c>
      <c r="P45" s="4">
        <v>1</v>
      </c>
      <c r="Q45" s="3">
        <v>0</v>
      </c>
      <c r="R45" s="4">
        <v>1</v>
      </c>
      <c r="S45" s="3">
        <v>0</v>
      </c>
      <c r="T45" s="5" t="s">
        <v>147</v>
      </c>
      <c r="U45" s="5" t="s">
        <v>569</v>
      </c>
      <c r="V45" s="5" t="s">
        <v>570</v>
      </c>
      <c r="W45" s="5" t="s">
        <v>571</v>
      </c>
      <c r="X45" s="5" t="s">
        <v>572</v>
      </c>
    </row>
    <row r="46" spans="1:24" ht="30" x14ac:dyDescent="0.25">
      <c r="A46" s="2">
        <v>45</v>
      </c>
      <c r="B46" s="2" t="s">
        <v>573</v>
      </c>
      <c r="C46" s="2" t="s">
        <v>549</v>
      </c>
      <c r="D46" s="2" t="s">
        <v>574</v>
      </c>
      <c r="E46" s="2" t="s">
        <v>575</v>
      </c>
      <c r="F46" s="2" t="s">
        <v>576</v>
      </c>
      <c r="G46" s="2" t="s">
        <v>29</v>
      </c>
      <c r="H46" s="2" t="s">
        <v>528</v>
      </c>
      <c r="I46" s="2" t="s">
        <v>189</v>
      </c>
      <c r="J46" s="2" t="s">
        <v>125</v>
      </c>
      <c r="K46" s="2" t="s">
        <v>577</v>
      </c>
      <c r="L46" s="2" t="s">
        <v>578</v>
      </c>
      <c r="M46" s="2" t="s">
        <v>579</v>
      </c>
      <c r="N46" s="2" t="s">
        <v>580</v>
      </c>
      <c r="O46" s="3">
        <v>0</v>
      </c>
      <c r="P46" s="3">
        <v>0</v>
      </c>
      <c r="Q46" s="3">
        <v>0</v>
      </c>
      <c r="R46" s="4">
        <v>1</v>
      </c>
      <c r="S46" s="4">
        <v>1</v>
      </c>
      <c r="T46" s="2" t="s">
        <v>152</v>
      </c>
      <c r="U46" s="2" t="s">
        <v>581</v>
      </c>
      <c r="V46" s="2" t="s">
        <v>582</v>
      </c>
      <c r="W46" s="2" t="s">
        <v>583</v>
      </c>
      <c r="X46" s="2" t="s">
        <v>584</v>
      </c>
    </row>
    <row r="47" spans="1:24" ht="45" x14ac:dyDescent="0.25">
      <c r="A47" s="5">
        <v>46</v>
      </c>
      <c r="B47" s="5" t="s">
        <v>585</v>
      </c>
      <c r="C47" s="5" t="s">
        <v>586</v>
      </c>
      <c r="D47" s="5" t="s">
        <v>348</v>
      </c>
      <c r="E47" s="5" t="s">
        <v>587</v>
      </c>
      <c r="F47" s="5" t="s">
        <v>588</v>
      </c>
      <c r="G47" s="5" t="s">
        <v>229</v>
      </c>
      <c r="H47" s="5" t="s">
        <v>528</v>
      </c>
      <c r="I47" s="5" t="s">
        <v>589</v>
      </c>
      <c r="J47" s="5" t="s">
        <v>590</v>
      </c>
      <c r="K47" s="5" t="s">
        <v>591</v>
      </c>
      <c r="L47" s="5" t="s">
        <v>592</v>
      </c>
      <c r="M47" s="5" t="s">
        <v>593</v>
      </c>
      <c r="N47" s="5" t="s">
        <v>594</v>
      </c>
      <c r="O47" s="4">
        <v>1</v>
      </c>
      <c r="P47" s="3">
        <v>0</v>
      </c>
      <c r="Q47" s="3">
        <v>0</v>
      </c>
      <c r="R47" s="3">
        <v>0</v>
      </c>
      <c r="S47" s="3">
        <v>0</v>
      </c>
      <c r="T47" s="5" t="s">
        <v>38</v>
      </c>
      <c r="U47" s="5" t="s">
        <v>595</v>
      </c>
      <c r="V47" s="5" t="s">
        <v>596</v>
      </c>
      <c r="W47" s="5" t="s">
        <v>597</v>
      </c>
      <c r="X47" s="5" t="s">
        <v>598</v>
      </c>
    </row>
    <row r="48" spans="1:24" ht="45" x14ac:dyDescent="0.25">
      <c r="A48" s="2">
        <v>47</v>
      </c>
      <c r="B48" s="2" t="s">
        <v>599</v>
      </c>
      <c r="C48" s="2" t="s">
        <v>600</v>
      </c>
      <c r="D48" s="2" t="s">
        <v>601</v>
      </c>
      <c r="E48" s="2" t="s">
        <v>602</v>
      </c>
      <c r="F48" s="2" t="s">
        <v>603</v>
      </c>
      <c r="G48" s="2" t="s">
        <v>29</v>
      </c>
      <c r="H48" s="2" t="s">
        <v>604</v>
      </c>
      <c r="I48" s="2" t="s">
        <v>47</v>
      </c>
      <c r="J48" s="2" t="s">
        <v>125</v>
      </c>
      <c r="K48" s="2" t="s">
        <v>605</v>
      </c>
      <c r="L48" s="2" t="s">
        <v>606</v>
      </c>
      <c r="M48" s="2" t="s">
        <v>607</v>
      </c>
      <c r="N48" s="2" t="s">
        <v>608</v>
      </c>
      <c r="O48" s="4">
        <v>1</v>
      </c>
      <c r="P48" s="3">
        <v>0</v>
      </c>
      <c r="Q48" s="3">
        <v>0</v>
      </c>
      <c r="R48" s="3">
        <v>0</v>
      </c>
      <c r="S48" s="4">
        <v>1</v>
      </c>
      <c r="T48" s="2" t="s">
        <v>147</v>
      </c>
      <c r="U48" s="2" t="s">
        <v>609</v>
      </c>
      <c r="V48" s="2" t="s">
        <v>610</v>
      </c>
      <c r="W48" s="2" t="s">
        <v>611</v>
      </c>
      <c r="X48" s="2" t="s">
        <v>612</v>
      </c>
    </row>
    <row r="49" spans="1:24" ht="45" x14ac:dyDescent="0.25">
      <c r="A49" s="5">
        <v>48</v>
      </c>
      <c r="B49" s="5" t="s">
        <v>613</v>
      </c>
      <c r="C49" s="5" t="s">
        <v>586</v>
      </c>
      <c r="D49" s="5" t="s">
        <v>614</v>
      </c>
      <c r="E49" s="5" t="s">
        <v>453</v>
      </c>
      <c r="F49" s="5" t="s">
        <v>45</v>
      </c>
      <c r="G49" s="5" t="s">
        <v>29</v>
      </c>
      <c r="H49" s="5" t="s">
        <v>46</v>
      </c>
      <c r="I49" s="5" t="s">
        <v>189</v>
      </c>
      <c r="J49" s="5" t="s">
        <v>296</v>
      </c>
      <c r="K49" s="5" t="s">
        <v>615</v>
      </c>
      <c r="L49" s="5" t="s">
        <v>616</v>
      </c>
      <c r="M49" s="5" t="s">
        <v>617</v>
      </c>
      <c r="N49" s="5" t="s">
        <v>618</v>
      </c>
      <c r="O49" s="3">
        <v>0</v>
      </c>
      <c r="P49" s="3">
        <v>0</v>
      </c>
      <c r="Q49" s="4">
        <v>1</v>
      </c>
      <c r="R49" s="4">
        <v>1</v>
      </c>
      <c r="S49" s="3">
        <v>0</v>
      </c>
      <c r="T49" s="5" t="s">
        <v>234</v>
      </c>
      <c r="U49" s="5" t="s">
        <v>619</v>
      </c>
      <c r="V49" s="5" t="s">
        <v>620</v>
      </c>
      <c r="W49" s="5" t="s">
        <v>621</v>
      </c>
      <c r="X49" s="5" t="s">
        <v>622</v>
      </c>
    </row>
    <row r="50" spans="1:24" ht="45" x14ac:dyDescent="0.25">
      <c r="A50" s="2">
        <v>49</v>
      </c>
      <c r="B50" s="2" t="s">
        <v>623</v>
      </c>
      <c r="C50" s="2" t="s">
        <v>624</v>
      </c>
      <c r="D50" s="2" t="s">
        <v>254</v>
      </c>
      <c r="E50" s="2" t="s">
        <v>160</v>
      </c>
      <c r="F50" s="2" t="s">
        <v>552</v>
      </c>
      <c r="G50" s="2" t="s">
        <v>29</v>
      </c>
      <c r="H50" s="2" t="s">
        <v>46</v>
      </c>
      <c r="I50" s="2" t="s">
        <v>625</v>
      </c>
      <c r="J50" s="2" t="s">
        <v>257</v>
      </c>
      <c r="K50" s="2" t="s">
        <v>626</v>
      </c>
      <c r="L50" s="2" t="s">
        <v>627</v>
      </c>
      <c r="M50" s="2" t="s">
        <v>628</v>
      </c>
      <c r="N50" s="2" t="s">
        <v>629</v>
      </c>
      <c r="O50" s="4">
        <v>1</v>
      </c>
      <c r="P50" s="3">
        <v>0</v>
      </c>
      <c r="Q50" s="4">
        <v>1</v>
      </c>
      <c r="R50" s="3">
        <v>0</v>
      </c>
      <c r="S50" s="3">
        <v>0</v>
      </c>
      <c r="T50" s="2" t="s">
        <v>38</v>
      </c>
      <c r="U50" s="2" t="s">
        <v>630</v>
      </c>
      <c r="V50" s="2" t="s">
        <v>631</v>
      </c>
      <c r="W50" s="2" t="s">
        <v>632</v>
      </c>
      <c r="X50" s="2" t="s">
        <v>633</v>
      </c>
    </row>
    <row r="51" spans="1:24" ht="45" x14ac:dyDescent="0.25">
      <c r="A51" s="5">
        <v>50</v>
      </c>
      <c r="B51" s="5" t="s">
        <v>634</v>
      </c>
      <c r="C51" s="5" t="s">
        <v>635</v>
      </c>
      <c r="D51" s="5" t="s">
        <v>636</v>
      </c>
      <c r="E51" s="5" t="s">
        <v>453</v>
      </c>
      <c r="F51" s="5" t="s">
        <v>637</v>
      </c>
      <c r="G51" s="5" t="s">
        <v>441</v>
      </c>
      <c r="H51" s="5" t="s">
        <v>638</v>
      </c>
      <c r="I51" s="5" t="s">
        <v>639</v>
      </c>
      <c r="J51" s="5" t="s">
        <v>640</v>
      </c>
      <c r="K51" s="5" t="s">
        <v>641</v>
      </c>
      <c r="L51" s="5" t="s">
        <v>642</v>
      </c>
      <c r="M51" s="5" t="s">
        <v>643</v>
      </c>
      <c r="N51" s="5" t="s">
        <v>644</v>
      </c>
      <c r="O51" s="3">
        <v>0</v>
      </c>
      <c r="P51" s="3">
        <v>0</v>
      </c>
      <c r="Q51" s="4">
        <v>1</v>
      </c>
      <c r="R51" s="4">
        <v>1</v>
      </c>
      <c r="S51" s="4">
        <v>1</v>
      </c>
      <c r="T51" s="5" t="s">
        <v>221</v>
      </c>
      <c r="U51" s="5" t="s">
        <v>645</v>
      </c>
      <c r="V51" s="5" t="s">
        <v>646</v>
      </c>
      <c r="W51" s="5" t="s">
        <v>647</v>
      </c>
      <c r="X51" s="5" t="s">
        <v>648</v>
      </c>
    </row>
    <row r="52" spans="1:24" ht="45" x14ac:dyDescent="0.25">
      <c r="A52" s="2">
        <v>51</v>
      </c>
      <c r="B52" s="2" t="s">
        <v>649</v>
      </c>
      <c r="C52" s="2" t="s">
        <v>586</v>
      </c>
      <c r="D52" s="2" t="s">
        <v>650</v>
      </c>
      <c r="E52" s="2" t="s">
        <v>453</v>
      </c>
      <c r="F52" s="2" t="s">
        <v>651</v>
      </c>
      <c r="G52" s="2" t="s">
        <v>324</v>
      </c>
      <c r="H52" s="2" t="s">
        <v>162</v>
      </c>
      <c r="I52" s="2" t="s">
        <v>79</v>
      </c>
      <c r="J52" s="2" t="s">
        <v>652</v>
      </c>
      <c r="K52" s="2" t="s">
        <v>653</v>
      </c>
      <c r="L52" s="2" t="s">
        <v>654</v>
      </c>
      <c r="M52" s="2" t="s">
        <v>655</v>
      </c>
      <c r="N52" s="2" t="s">
        <v>656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2" t="s">
        <v>38</v>
      </c>
      <c r="U52" s="2" t="s">
        <v>657</v>
      </c>
      <c r="V52" s="2" t="s">
        <v>658</v>
      </c>
      <c r="W52" s="2" t="s">
        <v>659</v>
      </c>
      <c r="X52" s="2" t="s">
        <v>660</v>
      </c>
    </row>
    <row r="53" spans="1:24" ht="45" x14ac:dyDescent="0.25">
      <c r="A53" s="5">
        <v>52</v>
      </c>
      <c r="B53" s="5" t="s">
        <v>661</v>
      </c>
      <c r="C53" s="5" t="s">
        <v>635</v>
      </c>
      <c r="D53" s="5" t="s">
        <v>26</v>
      </c>
      <c r="E53" s="5" t="s">
        <v>213</v>
      </c>
      <c r="F53" s="5" t="s">
        <v>214</v>
      </c>
      <c r="G53" s="5" t="s">
        <v>29</v>
      </c>
      <c r="H53" s="5" t="s">
        <v>113</v>
      </c>
      <c r="I53" s="5" t="s">
        <v>31</v>
      </c>
      <c r="J53" s="5" t="s">
        <v>32</v>
      </c>
      <c r="K53" s="5" t="s">
        <v>662</v>
      </c>
      <c r="L53" s="5" t="s">
        <v>663</v>
      </c>
      <c r="M53" s="5" t="s">
        <v>664</v>
      </c>
      <c r="N53" s="5" t="s">
        <v>665</v>
      </c>
      <c r="O53" s="3">
        <v>0</v>
      </c>
      <c r="P53" s="3">
        <v>0</v>
      </c>
      <c r="Q53" s="4">
        <v>1</v>
      </c>
      <c r="R53" s="4">
        <v>1</v>
      </c>
      <c r="S53" s="3">
        <v>0</v>
      </c>
      <c r="T53" s="5" t="s">
        <v>38</v>
      </c>
      <c r="U53" s="5" t="s">
        <v>315</v>
      </c>
      <c r="V53" s="5" t="s">
        <v>666</v>
      </c>
      <c r="W53" s="5" t="s">
        <v>667</v>
      </c>
      <c r="X53" s="5" t="s">
        <v>668</v>
      </c>
    </row>
    <row r="54" spans="1:24" ht="30" x14ac:dyDescent="0.25">
      <c r="A54" s="2">
        <v>53</v>
      </c>
      <c r="B54" s="2" t="s">
        <v>669</v>
      </c>
      <c r="C54" s="2" t="s">
        <v>635</v>
      </c>
      <c r="D54" s="2" t="s">
        <v>199</v>
      </c>
      <c r="E54" s="2" t="s">
        <v>160</v>
      </c>
      <c r="F54" s="2" t="s">
        <v>670</v>
      </c>
      <c r="G54" s="2" t="s">
        <v>29</v>
      </c>
      <c r="H54" s="2" t="s">
        <v>46</v>
      </c>
      <c r="I54" s="2" t="s">
        <v>553</v>
      </c>
      <c r="J54" s="2" t="s">
        <v>296</v>
      </c>
      <c r="K54" s="2" t="s">
        <v>671</v>
      </c>
      <c r="L54" s="2" t="s">
        <v>672</v>
      </c>
      <c r="M54" s="2" t="s">
        <v>673</v>
      </c>
      <c r="N54" s="2" t="s">
        <v>674</v>
      </c>
      <c r="O54" s="4">
        <v>1</v>
      </c>
      <c r="P54" s="3">
        <v>0</v>
      </c>
      <c r="Q54" s="4">
        <v>1</v>
      </c>
      <c r="R54" s="3">
        <v>0</v>
      </c>
      <c r="S54" s="3">
        <v>0</v>
      </c>
      <c r="T54" s="2" t="s">
        <v>38</v>
      </c>
      <c r="U54" s="2" t="s">
        <v>364</v>
      </c>
      <c r="V54" s="2" t="s">
        <v>675</v>
      </c>
      <c r="W54" s="2" t="s">
        <v>676</v>
      </c>
      <c r="X54" s="2" t="s">
        <v>677</v>
      </c>
    </row>
    <row r="55" spans="1:24" ht="45" x14ac:dyDescent="0.25">
      <c r="A55" s="5">
        <v>54</v>
      </c>
      <c r="B55" s="5" t="s">
        <v>678</v>
      </c>
      <c r="C55" s="5" t="s">
        <v>679</v>
      </c>
      <c r="D55" s="5" t="s">
        <v>680</v>
      </c>
      <c r="E55" s="5" t="s">
        <v>160</v>
      </c>
      <c r="F55" s="5" t="s">
        <v>681</v>
      </c>
      <c r="G55" s="5" t="s">
        <v>76</v>
      </c>
      <c r="H55" s="5" t="s">
        <v>283</v>
      </c>
      <c r="I55" s="5" t="s">
        <v>63</v>
      </c>
      <c r="J55" s="5" t="s">
        <v>739</v>
      </c>
      <c r="K55" s="5" t="s">
        <v>682</v>
      </c>
      <c r="L55" s="5" t="s">
        <v>683</v>
      </c>
      <c r="M55" s="5" t="s">
        <v>684</v>
      </c>
      <c r="N55" s="5" t="s">
        <v>685</v>
      </c>
      <c r="O55" s="4">
        <v>1</v>
      </c>
      <c r="P55" s="4">
        <v>1</v>
      </c>
      <c r="Q55" s="3">
        <v>0</v>
      </c>
      <c r="R55" s="3">
        <v>0</v>
      </c>
      <c r="S55" s="3">
        <v>0</v>
      </c>
      <c r="T55" s="5" t="s">
        <v>147</v>
      </c>
      <c r="U55" s="5" t="s">
        <v>686</v>
      </c>
      <c r="V55" s="5" t="s">
        <v>687</v>
      </c>
      <c r="W55" s="5" t="s">
        <v>688</v>
      </c>
      <c r="X55" s="5" t="s">
        <v>689</v>
      </c>
    </row>
    <row r="56" spans="1:24" ht="45" x14ac:dyDescent="0.25">
      <c r="A56" s="2">
        <v>55</v>
      </c>
      <c r="B56" s="2" t="s">
        <v>690</v>
      </c>
      <c r="C56" s="2" t="s">
        <v>691</v>
      </c>
      <c r="D56" s="2" t="s">
        <v>692</v>
      </c>
      <c r="E56" s="2" t="s">
        <v>880</v>
      </c>
      <c r="F56" s="2" t="s">
        <v>693</v>
      </c>
      <c r="G56" s="2" t="s">
        <v>29</v>
      </c>
      <c r="H56" s="2" t="s">
        <v>46</v>
      </c>
      <c r="I56" s="2" t="s">
        <v>296</v>
      </c>
      <c r="J56" s="2" t="s">
        <v>47</v>
      </c>
      <c r="K56" s="2" t="s">
        <v>694</v>
      </c>
      <c r="L56" s="2" t="s">
        <v>695</v>
      </c>
      <c r="M56" s="2" t="s">
        <v>696</v>
      </c>
      <c r="N56" s="2" t="s">
        <v>697</v>
      </c>
      <c r="O56" s="4">
        <v>1</v>
      </c>
      <c r="P56" s="3">
        <v>0</v>
      </c>
      <c r="Q56" s="4">
        <v>1</v>
      </c>
      <c r="R56" s="3">
        <v>0</v>
      </c>
      <c r="S56" s="3">
        <v>0</v>
      </c>
      <c r="T56" s="2" t="s">
        <v>38</v>
      </c>
      <c r="U56" s="2" t="s">
        <v>315</v>
      </c>
      <c r="V56" s="2" t="s">
        <v>698</v>
      </c>
      <c r="W56" s="2" t="s">
        <v>699</v>
      </c>
      <c r="X56" s="2" t="s">
        <v>700</v>
      </c>
    </row>
    <row r="57" spans="1:24" ht="30" x14ac:dyDescent="0.25">
      <c r="A57" s="5">
        <v>56</v>
      </c>
      <c r="B57" s="5" t="s">
        <v>701</v>
      </c>
      <c r="C57" s="5" t="s">
        <v>691</v>
      </c>
      <c r="D57" s="5" t="s">
        <v>702</v>
      </c>
      <c r="E57" s="5" t="s">
        <v>308</v>
      </c>
      <c r="F57" s="5" t="s">
        <v>703</v>
      </c>
      <c r="G57" s="5" t="s">
        <v>29</v>
      </c>
      <c r="H57" s="5" t="s">
        <v>162</v>
      </c>
      <c r="I57" s="5" t="s">
        <v>704</v>
      </c>
      <c r="J57" s="5" t="s">
        <v>705</v>
      </c>
      <c r="K57" s="5" t="s">
        <v>706</v>
      </c>
      <c r="L57" s="5" t="s">
        <v>707</v>
      </c>
      <c r="M57" s="5" t="s">
        <v>150</v>
      </c>
      <c r="N57" s="5" t="s">
        <v>708</v>
      </c>
      <c r="O57" s="3">
        <v>0</v>
      </c>
      <c r="P57" s="3">
        <v>0</v>
      </c>
      <c r="Q57" s="3">
        <v>0</v>
      </c>
      <c r="R57" s="4">
        <v>1</v>
      </c>
      <c r="S57" s="4">
        <v>1</v>
      </c>
      <c r="T57" s="5" t="s">
        <v>152</v>
      </c>
      <c r="U57" s="5" t="s">
        <v>206</v>
      </c>
      <c r="V57" s="5" t="s">
        <v>709</v>
      </c>
      <c r="W57" s="5" t="s">
        <v>710</v>
      </c>
      <c r="X57" s="5" t="s">
        <v>711</v>
      </c>
    </row>
    <row r="58" spans="1:24" ht="45" x14ac:dyDescent="0.25">
      <c r="A58" s="2">
        <v>57</v>
      </c>
      <c r="B58" s="2" t="s">
        <v>712</v>
      </c>
      <c r="C58" s="2" t="s">
        <v>713</v>
      </c>
      <c r="D58" s="2" t="s">
        <v>26</v>
      </c>
      <c r="E58" s="2" t="s">
        <v>308</v>
      </c>
      <c r="F58" s="2" t="s">
        <v>552</v>
      </c>
      <c r="G58" s="2" t="s">
        <v>29</v>
      </c>
      <c r="H58" s="2" t="s">
        <v>46</v>
      </c>
      <c r="I58" s="2" t="s">
        <v>63</v>
      </c>
      <c r="J58" s="2" t="s">
        <v>714</v>
      </c>
      <c r="K58" s="2" t="s">
        <v>715</v>
      </c>
      <c r="L58" s="2" t="s">
        <v>716</v>
      </c>
      <c r="M58" s="2" t="s">
        <v>717</v>
      </c>
      <c r="N58" s="2" t="s">
        <v>718</v>
      </c>
      <c r="O58" s="4">
        <v>1</v>
      </c>
      <c r="P58" s="4">
        <v>1</v>
      </c>
      <c r="Q58" s="3">
        <v>0</v>
      </c>
      <c r="R58" s="4">
        <v>1</v>
      </c>
      <c r="S58" s="4">
        <v>1</v>
      </c>
      <c r="T58" s="2" t="s">
        <v>38</v>
      </c>
      <c r="U58" s="2" t="s">
        <v>364</v>
      </c>
      <c r="V58" s="2" t="s">
        <v>719</v>
      </c>
      <c r="W58" s="2" t="s">
        <v>720</v>
      </c>
      <c r="X58" s="2" t="s">
        <v>721</v>
      </c>
    </row>
    <row r="59" spans="1:24" ht="45" x14ac:dyDescent="0.25">
      <c r="A59" s="5">
        <v>58</v>
      </c>
      <c r="B59" s="5" t="s">
        <v>722</v>
      </c>
      <c r="C59" s="5" t="s">
        <v>723</v>
      </c>
      <c r="D59" s="5" t="s">
        <v>724</v>
      </c>
      <c r="E59" s="5" t="s">
        <v>879</v>
      </c>
      <c r="F59" s="5" t="s">
        <v>432</v>
      </c>
      <c r="G59" s="5" t="s">
        <v>229</v>
      </c>
      <c r="H59" s="5" t="s">
        <v>147</v>
      </c>
      <c r="I59" s="5" t="s">
        <v>726</v>
      </c>
      <c r="J59" s="5" t="s">
        <v>296</v>
      </c>
      <c r="K59" s="5" t="s">
        <v>727</v>
      </c>
      <c r="L59" s="5" t="s">
        <v>728</v>
      </c>
      <c r="M59" s="5" t="s">
        <v>729</v>
      </c>
      <c r="N59" s="5" t="s">
        <v>730</v>
      </c>
      <c r="O59" s="3">
        <v>0</v>
      </c>
      <c r="P59" s="3">
        <v>0</v>
      </c>
      <c r="Q59" s="4">
        <v>1</v>
      </c>
      <c r="R59" s="3">
        <v>0</v>
      </c>
      <c r="S59" s="4">
        <v>1</v>
      </c>
      <c r="T59" s="5" t="s">
        <v>147</v>
      </c>
      <c r="U59" s="5" t="s">
        <v>235</v>
      </c>
      <c r="V59" s="5" t="s">
        <v>731</v>
      </c>
      <c r="W59" s="5" t="s">
        <v>732</v>
      </c>
      <c r="X59" s="5" t="s">
        <v>733</v>
      </c>
    </row>
    <row r="60" spans="1:24" ht="30" x14ac:dyDescent="0.25">
      <c r="A60" s="2">
        <v>59</v>
      </c>
      <c r="B60" s="2" t="s">
        <v>734</v>
      </c>
      <c r="C60" s="2" t="s">
        <v>713</v>
      </c>
      <c r="D60" s="2" t="s">
        <v>735</v>
      </c>
      <c r="E60" s="2" t="s">
        <v>308</v>
      </c>
      <c r="F60" s="2" t="s">
        <v>736</v>
      </c>
      <c r="G60" s="2" t="s">
        <v>737</v>
      </c>
      <c r="H60" s="2" t="s">
        <v>563</v>
      </c>
      <c r="I60" s="2" t="s">
        <v>738</v>
      </c>
      <c r="J60" s="2" t="s">
        <v>739</v>
      </c>
      <c r="K60" s="2" t="s">
        <v>740</v>
      </c>
      <c r="L60" s="2" t="s">
        <v>741</v>
      </c>
      <c r="M60" s="2" t="s">
        <v>742</v>
      </c>
      <c r="N60" s="2" t="s">
        <v>743</v>
      </c>
      <c r="O60" s="4">
        <v>1</v>
      </c>
      <c r="P60" s="4">
        <v>1</v>
      </c>
      <c r="Q60" s="3">
        <v>0</v>
      </c>
      <c r="R60" s="3">
        <v>0</v>
      </c>
      <c r="S60" s="3">
        <v>0</v>
      </c>
      <c r="T60" s="2" t="s">
        <v>38</v>
      </c>
      <c r="U60" s="2" t="s">
        <v>744</v>
      </c>
      <c r="V60" s="2" t="s">
        <v>745</v>
      </c>
      <c r="W60" s="2" t="s">
        <v>746</v>
      </c>
      <c r="X60" s="2" t="s">
        <v>747</v>
      </c>
    </row>
    <row r="61" spans="1:24" ht="45" x14ac:dyDescent="0.25">
      <c r="A61" s="5">
        <v>60</v>
      </c>
      <c r="B61" s="5" t="s">
        <v>748</v>
      </c>
      <c r="C61" s="5" t="s">
        <v>723</v>
      </c>
      <c r="D61" s="5" t="s">
        <v>724</v>
      </c>
      <c r="E61" s="5" t="s">
        <v>725</v>
      </c>
      <c r="F61" s="5" t="s">
        <v>432</v>
      </c>
      <c r="G61" s="5" t="s">
        <v>229</v>
      </c>
      <c r="H61" s="5" t="s">
        <v>147</v>
      </c>
      <c r="I61" s="5" t="s">
        <v>726</v>
      </c>
      <c r="J61" s="5" t="s">
        <v>749</v>
      </c>
      <c r="K61" s="5" t="s">
        <v>750</v>
      </c>
      <c r="L61" s="5" t="s">
        <v>751</v>
      </c>
      <c r="M61" s="5" t="s">
        <v>752</v>
      </c>
      <c r="N61" s="5" t="s">
        <v>753</v>
      </c>
      <c r="O61" s="4">
        <v>1</v>
      </c>
      <c r="P61" s="3">
        <v>0</v>
      </c>
      <c r="Q61" s="4">
        <v>1</v>
      </c>
      <c r="R61" s="3">
        <v>0</v>
      </c>
      <c r="S61" s="4">
        <v>1</v>
      </c>
      <c r="T61" s="5" t="s">
        <v>147</v>
      </c>
      <c r="U61" s="5" t="s">
        <v>235</v>
      </c>
      <c r="V61" s="5" t="s">
        <v>754</v>
      </c>
      <c r="W61" s="5" t="s">
        <v>755</v>
      </c>
      <c r="X61" s="5" t="s">
        <v>756</v>
      </c>
    </row>
    <row r="62" spans="1:24" ht="30" x14ac:dyDescent="0.25">
      <c r="A62" s="2">
        <v>61</v>
      </c>
      <c r="B62" s="2" t="s">
        <v>757</v>
      </c>
      <c r="C62" s="2" t="s">
        <v>713</v>
      </c>
      <c r="D62" s="2" t="s">
        <v>199</v>
      </c>
      <c r="E62" s="2" t="s">
        <v>308</v>
      </c>
      <c r="F62" s="2" t="s">
        <v>758</v>
      </c>
      <c r="G62" s="2" t="s">
        <v>29</v>
      </c>
      <c r="H62" s="2" t="s">
        <v>563</v>
      </c>
      <c r="I62" s="2" t="s">
        <v>738</v>
      </c>
      <c r="J62" s="2" t="s">
        <v>739</v>
      </c>
      <c r="K62" s="2" t="s">
        <v>759</v>
      </c>
      <c r="L62" s="2" t="s">
        <v>760</v>
      </c>
      <c r="M62" s="2" t="s">
        <v>761</v>
      </c>
      <c r="N62" s="2" t="s">
        <v>762</v>
      </c>
      <c r="O62" s="4">
        <v>1</v>
      </c>
      <c r="P62" s="4">
        <v>1</v>
      </c>
      <c r="Q62" s="3">
        <v>0</v>
      </c>
      <c r="R62" s="3">
        <v>0</v>
      </c>
      <c r="S62" s="3">
        <v>0</v>
      </c>
      <c r="T62" s="2" t="s">
        <v>147</v>
      </c>
      <c r="U62" s="2" t="s">
        <v>315</v>
      </c>
      <c r="V62" s="2" t="s">
        <v>763</v>
      </c>
      <c r="W62" s="2" t="s">
        <v>764</v>
      </c>
      <c r="X62" s="2" t="s">
        <v>765</v>
      </c>
    </row>
    <row r="63" spans="1:24" ht="45" x14ac:dyDescent="0.25">
      <c r="A63" s="5">
        <v>62</v>
      </c>
      <c r="B63" s="5" t="s">
        <v>766</v>
      </c>
      <c r="C63" s="5" t="s">
        <v>679</v>
      </c>
      <c r="D63" s="5" t="s">
        <v>767</v>
      </c>
      <c r="E63" s="5" t="s">
        <v>160</v>
      </c>
      <c r="F63" s="5" t="s">
        <v>681</v>
      </c>
      <c r="G63" s="5" t="s">
        <v>76</v>
      </c>
      <c r="H63" s="5" t="s">
        <v>283</v>
      </c>
      <c r="I63" s="5" t="s">
        <v>63</v>
      </c>
      <c r="J63" s="5" t="s">
        <v>739</v>
      </c>
      <c r="K63" s="5" t="s">
        <v>768</v>
      </c>
      <c r="L63" s="5" t="s">
        <v>769</v>
      </c>
      <c r="M63" s="5" t="s">
        <v>770</v>
      </c>
      <c r="N63" s="5" t="s">
        <v>685</v>
      </c>
      <c r="O63" s="4">
        <v>1</v>
      </c>
      <c r="P63" s="4">
        <v>1</v>
      </c>
      <c r="Q63" s="3">
        <v>0</v>
      </c>
      <c r="R63" s="3">
        <v>0</v>
      </c>
      <c r="S63" s="3">
        <v>0</v>
      </c>
      <c r="T63" s="5" t="s">
        <v>147</v>
      </c>
      <c r="U63" s="5" t="s">
        <v>686</v>
      </c>
      <c r="V63" s="5" t="s">
        <v>771</v>
      </c>
      <c r="W63" s="5" t="s">
        <v>772</v>
      </c>
      <c r="X63" s="5" t="s">
        <v>773</v>
      </c>
    </row>
    <row r="64" spans="1:24" ht="45" x14ac:dyDescent="0.25">
      <c r="A64" s="2">
        <v>63</v>
      </c>
      <c r="B64" s="2" t="s">
        <v>774</v>
      </c>
      <c r="C64" s="2" t="s">
        <v>466</v>
      </c>
      <c r="D64" s="2" t="s">
        <v>775</v>
      </c>
      <c r="E64" s="2" t="s">
        <v>602</v>
      </c>
      <c r="F64" s="2" t="s">
        <v>603</v>
      </c>
      <c r="G64" s="2" t="s">
        <v>229</v>
      </c>
      <c r="H64" s="2" t="s">
        <v>30</v>
      </c>
      <c r="I64" s="2" t="s">
        <v>125</v>
      </c>
      <c r="J64" s="2" t="s">
        <v>776</v>
      </c>
      <c r="K64" s="2" t="s">
        <v>777</v>
      </c>
      <c r="L64" s="2" t="s">
        <v>778</v>
      </c>
      <c r="M64" s="2" t="s">
        <v>779</v>
      </c>
      <c r="N64" s="2" t="s">
        <v>780</v>
      </c>
      <c r="O64" s="4">
        <v>1</v>
      </c>
      <c r="P64" s="3">
        <v>0</v>
      </c>
      <c r="Q64" s="4">
        <v>1</v>
      </c>
      <c r="R64" s="4">
        <v>1</v>
      </c>
      <c r="S64" s="4">
        <v>1</v>
      </c>
      <c r="T64" s="2" t="s">
        <v>147</v>
      </c>
      <c r="U64" s="2" t="s">
        <v>235</v>
      </c>
      <c r="V64" s="2" t="s">
        <v>781</v>
      </c>
      <c r="W64" s="2" t="s">
        <v>782</v>
      </c>
      <c r="X64" s="2" t="s">
        <v>783</v>
      </c>
    </row>
    <row r="65" spans="15:19" x14ac:dyDescent="0.25">
      <c r="O65">
        <f>SUM(O2:O64)</f>
        <v>39</v>
      </c>
      <c r="P65">
        <f t="shared" ref="P65:S65" si="0">SUM(P2:P64)</f>
        <v>19</v>
      </c>
      <c r="Q65">
        <f t="shared" si="0"/>
        <v>37</v>
      </c>
      <c r="R65">
        <f t="shared" si="0"/>
        <v>31</v>
      </c>
      <c r="S65">
        <f t="shared" si="0"/>
        <v>21</v>
      </c>
    </row>
  </sheetData>
  <autoFilter ref="A1:X64" xr:uid="{00000000-0009-0000-0000-000000000000}"/>
  <pageMargins left="0.75" right="0.75" top="1" bottom="1" header="0.5" footer="0.5"/>
  <pageSetup orientation="portrait" horizontalDpi="4294967292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9079-606A-49D8-9842-4BA32D567EC6}">
  <dimension ref="A1:AF46"/>
  <sheetViews>
    <sheetView tabSelected="1" topLeftCell="N1" workbookViewId="0">
      <selection activeCell="AG5" sqref="AG5"/>
    </sheetView>
  </sheetViews>
  <sheetFormatPr defaultRowHeight="15" x14ac:dyDescent="0.25"/>
  <cols>
    <col min="1" max="1" width="25.7109375" style="13" customWidth="1"/>
    <col min="2" max="2" width="42.42578125" style="13" customWidth="1"/>
    <col min="6" max="6" width="26.28515625" customWidth="1"/>
    <col min="7" max="7" width="29.85546875" customWidth="1"/>
    <col min="10" max="10" width="24" customWidth="1"/>
    <col min="13" max="13" width="27.28515625" customWidth="1"/>
    <col min="32" max="32" width="31.42578125" customWidth="1"/>
    <col min="33" max="33" width="29.85546875" customWidth="1"/>
  </cols>
  <sheetData>
    <row r="1" spans="1:32" x14ac:dyDescent="0.25">
      <c r="A1" s="13" t="s">
        <v>882</v>
      </c>
      <c r="B1" s="13" t="s">
        <v>883</v>
      </c>
    </row>
    <row r="2" spans="1:32" x14ac:dyDescent="0.25">
      <c r="A2" s="14" t="s">
        <v>45</v>
      </c>
      <c r="B2" s="14">
        <v>5</v>
      </c>
      <c r="E2" s="15"/>
      <c r="F2" s="16" t="s">
        <v>8</v>
      </c>
      <c r="G2" s="16" t="s">
        <v>884</v>
      </c>
      <c r="J2" s="17" t="s">
        <v>886</v>
      </c>
      <c r="K2" s="17" t="s">
        <v>887</v>
      </c>
      <c r="M2" s="17" t="s">
        <v>889</v>
      </c>
      <c r="N2" s="17" t="s">
        <v>890</v>
      </c>
      <c r="P2" s="17" t="s">
        <v>889</v>
      </c>
      <c r="Q2" s="17" t="s">
        <v>890</v>
      </c>
      <c r="S2" s="17" t="s">
        <v>891</v>
      </c>
      <c r="T2" s="17" t="s">
        <v>892</v>
      </c>
      <c r="V2" s="17" t="s">
        <v>893</v>
      </c>
      <c r="W2" s="17" t="s">
        <v>887</v>
      </c>
      <c r="AB2" t="s">
        <v>894</v>
      </c>
      <c r="AC2" t="s">
        <v>895</v>
      </c>
      <c r="AF2" t="s">
        <v>896</v>
      </c>
    </row>
    <row r="3" spans="1:32" ht="90" x14ac:dyDescent="0.25">
      <c r="A3" s="12" t="s">
        <v>214</v>
      </c>
      <c r="B3" s="12">
        <v>4</v>
      </c>
      <c r="E3" s="12"/>
      <c r="F3" s="11" t="s">
        <v>32</v>
      </c>
      <c r="G3" s="11">
        <v>7</v>
      </c>
      <c r="J3" s="11" t="s">
        <v>38</v>
      </c>
      <c r="K3" s="11">
        <v>21</v>
      </c>
      <c r="M3" s="11" t="s">
        <v>45</v>
      </c>
      <c r="N3" s="11">
        <v>5</v>
      </c>
      <c r="P3" s="11" t="s">
        <v>670</v>
      </c>
      <c r="Q3" s="11">
        <v>1</v>
      </c>
      <c r="S3" s="11" t="s">
        <v>26</v>
      </c>
      <c r="T3" s="11">
        <v>10</v>
      </c>
      <c r="V3" s="11" t="s">
        <v>46</v>
      </c>
      <c r="W3" s="11">
        <v>17</v>
      </c>
      <c r="AB3" s="11"/>
      <c r="AC3" s="11"/>
      <c r="AD3" s="11">
        <v>1</v>
      </c>
      <c r="AF3" t="s">
        <v>897</v>
      </c>
    </row>
    <row r="4" spans="1:32" ht="60" x14ac:dyDescent="0.25">
      <c r="A4" s="12" t="s">
        <v>552</v>
      </c>
      <c r="B4" s="12">
        <v>3</v>
      </c>
      <c r="E4" s="12"/>
      <c r="F4" s="11" t="s">
        <v>63</v>
      </c>
      <c r="G4" s="11">
        <v>6</v>
      </c>
      <c r="J4" s="11" t="s">
        <v>152</v>
      </c>
      <c r="K4" s="11">
        <v>10</v>
      </c>
      <c r="M4" s="11" t="s">
        <v>214</v>
      </c>
      <c r="N4" s="11">
        <v>4</v>
      </c>
      <c r="P4" s="11" t="s">
        <v>552</v>
      </c>
      <c r="Q4" s="11">
        <v>3</v>
      </c>
      <c r="S4" s="11" t="s">
        <v>307</v>
      </c>
      <c r="T4" s="11">
        <v>4</v>
      </c>
      <c r="V4" s="11" t="s">
        <v>147</v>
      </c>
      <c r="W4" s="11">
        <v>5</v>
      </c>
      <c r="AB4" s="11" t="s">
        <v>604</v>
      </c>
      <c r="AC4" s="11" t="s">
        <v>47</v>
      </c>
      <c r="AD4" s="11">
        <v>1</v>
      </c>
      <c r="AF4" t="s">
        <v>898</v>
      </c>
    </row>
    <row r="5" spans="1:32" ht="75" x14ac:dyDescent="0.25">
      <c r="A5" s="12" t="s">
        <v>337</v>
      </c>
      <c r="B5" s="12">
        <v>2</v>
      </c>
      <c r="E5" s="12"/>
      <c r="F5" s="11" t="s">
        <v>422</v>
      </c>
      <c r="G5" s="11">
        <v>1</v>
      </c>
      <c r="J5" s="11" t="s">
        <v>147</v>
      </c>
      <c r="K5" s="11">
        <v>10</v>
      </c>
      <c r="M5" s="11" t="s">
        <v>552</v>
      </c>
      <c r="N5" s="11">
        <v>3</v>
      </c>
      <c r="P5" s="11" t="s">
        <v>295</v>
      </c>
      <c r="Q5" s="11">
        <v>1</v>
      </c>
      <c r="S5" s="11" t="s">
        <v>199</v>
      </c>
      <c r="T5" s="11">
        <v>3</v>
      </c>
      <c r="V5" s="11" t="s">
        <v>30</v>
      </c>
      <c r="W5" s="11">
        <v>4</v>
      </c>
      <c r="AB5" s="11" t="s">
        <v>310</v>
      </c>
      <c r="AC5" s="11" t="s">
        <v>79</v>
      </c>
      <c r="AD5" s="11">
        <v>1</v>
      </c>
      <c r="AF5" t="s">
        <v>899</v>
      </c>
    </row>
    <row r="6" spans="1:32" ht="45" x14ac:dyDescent="0.25">
      <c r="A6" s="12" t="s">
        <v>603</v>
      </c>
      <c r="B6" s="12">
        <v>2</v>
      </c>
      <c r="E6" s="12"/>
      <c r="F6" s="11" t="s">
        <v>553</v>
      </c>
      <c r="G6" s="11">
        <v>2</v>
      </c>
      <c r="J6" s="11" t="s">
        <v>37</v>
      </c>
      <c r="K6" s="11">
        <v>6</v>
      </c>
      <c r="M6" s="11" t="s">
        <v>337</v>
      </c>
      <c r="N6" s="11">
        <v>2</v>
      </c>
      <c r="P6" s="11" t="s">
        <v>188</v>
      </c>
      <c r="Q6" s="11">
        <v>1</v>
      </c>
      <c r="S6" s="11" t="s">
        <v>395</v>
      </c>
      <c r="T6" s="11">
        <v>3</v>
      </c>
      <c r="V6" s="11" t="s">
        <v>162</v>
      </c>
      <c r="W6" s="11">
        <v>4</v>
      </c>
      <c r="AB6" s="11" t="s">
        <v>147</v>
      </c>
      <c r="AC6" s="11" t="s">
        <v>202</v>
      </c>
      <c r="AD6" s="11">
        <v>2</v>
      </c>
      <c r="AF6" t="s">
        <v>900</v>
      </c>
    </row>
    <row r="7" spans="1:32" ht="60" x14ac:dyDescent="0.25">
      <c r="A7" s="12" t="s">
        <v>681</v>
      </c>
      <c r="B7" s="12">
        <v>2</v>
      </c>
      <c r="E7" s="12"/>
      <c r="F7" s="11" t="s">
        <v>350</v>
      </c>
      <c r="G7" s="11">
        <v>1</v>
      </c>
      <c r="J7" s="11" t="s">
        <v>234</v>
      </c>
      <c r="K7" s="11">
        <v>6</v>
      </c>
      <c r="M7" s="11" t="s">
        <v>603</v>
      </c>
      <c r="N7" s="11">
        <v>2</v>
      </c>
      <c r="P7" s="11" t="s">
        <v>432</v>
      </c>
      <c r="Q7" s="11">
        <v>2</v>
      </c>
      <c r="S7" s="11" t="s">
        <v>348</v>
      </c>
      <c r="T7" s="11">
        <v>2</v>
      </c>
      <c r="V7" s="11" t="s">
        <v>283</v>
      </c>
      <c r="W7" s="11">
        <v>4</v>
      </c>
      <c r="AB7" s="11" t="s">
        <v>147</v>
      </c>
      <c r="AC7" s="11" t="s">
        <v>726</v>
      </c>
      <c r="AD7" s="11">
        <v>2</v>
      </c>
      <c r="AF7" t="s">
        <v>901</v>
      </c>
    </row>
    <row r="8" spans="1:32" ht="45" x14ac:dyDescent="0.25">
      <c r="A8" s="12" t="s">
        <v>432</v>
      </c>
      <c r="B8" s="12">
        <v>2</v>
      </c>
      <c r="E8" s="12"/>
      <c r="F8" s="11" t="s">
        <v>625</v>
      </c>
      <c r="G8" s="11">
        <v>1</v>
      </c>
      <c r="J8" s="11" t="s">
        <v>221</v>
      </c>
      <c r="K8" s="11">
        <v>4</v>
      </c>
      <c r="M8" s="11" t="s">
        <v>681</v>
      </c>
      <c r="N8" s="11">
        <v>2</v>
      </c>
      <c r="P8" s="11" t="s">
        <v>703</v>
      </c>
      <c r="Q8" s="11">
        <v>1</v>
      </c>
      <c r="S8" s="11" t="s">
        <v>724</v>
      </c>
      <c r="T8" s="11">
        <v>2</v>
      </c>
      <c r="V8" s="11" t="s">
        <v>528</v>
      </c>
      <c r="W8" s="11">
        <v>3</v>
      </c>
      <c r="AB8" s="11" t="s">
        <v>147</v>
      </c>
      <c r="AC8" s="11" t="s">
        <v>32</v>
      </c>
      <c r="AD8" s="11">
        <v>1</v>
      </c>
      <c r="AF8" t="s">
        <v>902</v>
      </c>
    </row>
    <row r="9" spans="1:32" ht="75" x14ac:dyDescent="0.25">
      <c r="A9" s="12" t="s">
        <v>28</v>
      </c>
      <c r="B9" s="12">
        <v>1</v>
      </c>
      <c r="E9" s="12"/>
      <c r="F9" s="11" t="s">
        <v>704</v>
      </c>
      <c r="G9" s="11">
        <v>1</v>
      </c>
      <c r="J9" s="11" t="s">
        <v>52</v>
      </c>
      <c r="K9" s="11">
        <v>3</v>
      </c>
      <c r="M9" s="11" t="s">
        <v>432</v>
      </c>
      <c r="N9" s="11">
        <v>2</v>
      </c>
      <c r="P9" s="11" t="s">
        <v>758</v>
      </c>
      <c r="Q9" s="11">
        <v>1</v>
      </c>
      <c r="S9" s="11" t="s">
        <v>122</v>
      </c>
      <c r="T9" s="11">
        <v>1</v>
      </c>
      <c r="V9" s="11" t="s">
        <v>563</v>
      </c>
      <c r="W9" s="11">
        <v>3</v>
      </c>
      <c r="AB9" s="11" t="s">
        <v>147</v>
      </c>
      <c r="AC9" s="11" t="s">
        <v>125</v>
      </c>
      <c r="AD9" s="11">
        <v>1</v>
      </c>
      <c r="AF9" t="s">
        <v>903</v>
      </c>
    </row>
    <row r="10" spans="1:32" ht="90" x14ac:dyDescent="0.25">
      <c r="A10" s="12" t="s">
        <v>124</v>
      </c>
      <c r="B10" s="12">
        <v>1</v>
      </c>
      <c r="E10" s="12"/>
      <c r="F10" s="11" t="s">
        <v>125</v>
      </c>
      <c r="G10" s="11">
        <v>5</v>
      </c>
      <c r="J10" s="11" t="s">
        <v>81</v>
      </c>
      <c r="K10" s="11">
        <v>2</v>
      </c>
      <c r="M10" s="11" t="s">
        <v>28</v>
      </c>
      <c r="N10" s="11">
        <v>1</v>
      </c>
      <c r="P10" s="11" t="s">
        <v>736</v>
      </c>
      <c r="Q10" s="11">
        <v>1</v>
      </c>
      <c r="S10" s="11" t="s">
        <v>159</v>
      </c>
      <c r="T10" s="11">
        <v>1</v>
      </c>
      <c r="V10" s="11" t="s">
        <v>113</v>
      </c>
      <c r="W10" s="11">
        <v>2</v>
      </c>
      <c r="AB10" s="11" t="s">
        <v>147</v>
      </c>
      <c r="AC10" s="11" t="s">
        <v>63</v>
      </c>
      <c r="AD10" s="11">
        <v>1</v>
      </c>
      <c r="AF10" t="s">
        <v>885</v>
      </c>
    </row>
    <row r="11" spans="1:32" ht="90" x14ac:dyDescent="0.25">
      <c r="A11" s="12" t="s">
        <v>146</v>
      </c>
      <c r="B11" s="12">
        <v>1</v>
      </c>
      <c r="E11" s="12"/>
      <c r="F11" s="11" t="s">
        <v>726</v>
      </c>
      <c r="G11" s="11">
        <v>2</v>
      </c>
      <c r="J11" s="11" t="s">
        <v>167</v>
      </c>
      <c r="K11" s="11">
        <v>1</v>
      </c>
      <c r="M11" s="11" t="s">
        <v>124</v>
      </c>
      <c r="N11" s="11">
        <v>1</v>
      </c>
      <c r="P11" s="11" t="s">
        <v>201</v>
      </c>
      <c r="Q11" s="11">
        <v>1</v>
      </c>
      <c r="S11" s="11" t="s">
        <v>212</v>
      </c>
      <c r="T11" s="11">
        <v>1</v>
      </c>
      <c r="V11" s="11" t="s">
        <v>310</v>
      </c>
      <c r="W11" s="11">
        <v>1</v>
      </c>
      <c r="AB11" s="11" t="s">
        <v>162</v>
      </c>
      <c r="AC11" s="11" t="s">
        <v>79</v>
      </c>
      <c r="AD11" s="11">
        <v>3</v>
      </c>
      <c r="AF11" t="s">
        <v>904</v>
      </c>
    </row>
    <row r="12" spans="1:32" ht="60" x14ac:dyDescent="0.25">
      <c r="A12" s="12" t="s">
        <v>161</v>
      </c>
      <c r="B12" s="12">
        <v>1</v>
      </c>
      <c r="E12" s="12"/>
      <c r="F12" s="11" t="s">
        <v>202</v>
      </c>
      <c r="G12" s="11">
        <v>2</v>
      </c>
      <c r="J12" s="11" t="s">
        <v>888</v>
      </c>
      <c r="K12" s="11">
        <v>1</v>
      </c>
      <c r="M12" s="11" t="s">
        <v>146</v>
      </c>
      <c r="N12" s="11">
        <v>1</v>
      </c>
      <c r="P12" s="11" t="s">
        <v>309</v>
      </c>
      <c r="Q12" s="11">
        <v>1</v>
      </c>
      <c r="S12" s="11" t="s">
        <v>268</v>
      </c>
      <c r="T12" s="11">
        <v>1</v>
      </c>
      <c r="V12" s="11" t="s">
        <v>604</v>
      </c>
      <c r="W12" s="11">
        <v>1</v>
      </c>
      <c r="AB12" s="11" t="s">
        <v>162</v>
      </c>
      <c r="AC12" s="11" t="s">
        <v>189</v>
      </c>
      <c r="AD12" s="11">
        <v>1</v>
      </c>
      <c r="AF12" t="s">
        <v>905</v>
      </c>
    </row>
    <row r="13" spans="1:32" ht="60" x14ac:dyDescent="0.25">
      <c r="A13" s="12" t="s">
        <v>188</v>
      </c>
      <c r="B13" s="12">
        <v>1</v>
      </c>
      <c r="E13" s="12"/>
      <c r="F13" s="11" t="s">
        <v>738</v>
      </c>
      <c r="G13" s="11">
        <v>2</v>
      </c>
      <c r="M13" s="11" t="s">
        <v>161</v>
      </c>
      <c r="N13" s="11">
        <v>1</v>
      </c>
      <c r="P13" s="11" t="s">
        <v>146</v>
      </c>
      <c r="Q13" s="11">
        <v>1</v>
      </c>
      <c r="S13" s="11" t="s">
        <v>280</v>
      </c>
      <c r="T13" s="11">
        <v>1</v>
      </c>
      <c r="AB13" s="11" t="s">
        <v>162</v>
      </c>
      <c r="AC13" s="11" t="s">
        <v>32</v>
      </c>
      <c r="AD13" s="11">
        <v>1</v>
      </c>
    </row>
    <row r="14" spans="1:32" ht="60" x14ac:dyDescent="0.25">
      <c r="A14" s="12" t="s">
        <v>201</v>
      </c>
      <c r="B14" s="12">
        <v>1</v>
      </c>
      <c r="E14" s="12"/>
      <c r="F14" s="11" t="s">
        <v>47</v>
      </c>
      <c r="G14" s="11">
        <v>4</v>
      </c>
      <c r="M14" s="11" t="s">
        <v>188</v>
      </c>
      <c r="N14" s="11">
        <v>1</v>
      </c>
      <c r="P14" s="11" t="s">
        <v>28</v>
      </c>
      <c r="Q14" s="11">
        <v>1</v>
      </c>
      <c r="S14" s="11" t="s">
        <v>293</v>
      </c>
      <c r="T14" s="11">
        <v>1</v>
      </c>
      <c r="AB14" s="11" t="s">
        <v>162</v>
      </c>
      <c r="AC14" s="11" t="s">
        <v>704</v>
      </c>
      <c r="AD14" s="11">
        <v>1</v>
      </c>
    </row>
    <row r="15" spans="1:32" ht="60" x14ac:dyDescent="0.25">
      <c r="A15" s="12" t="s">
        <v>269</v>
      </c>
      <c r="B15" s="12">
        <v>1</v>
      </c>
      <c r="E15" s="12"/>
      <c r="F15" s="11" t="s">
        <v>372</v>
      </c>
      <c r="G15" s="11">
        <v>1</v>
      </c>
      <c r="M15" s="11" t="s">
        <v>201</v>
      </c>
      <c r="N15" s="11">
        <v>1</v>
      </c>
      <c r="P15" s="11" t="s">
        <v>603</v>
      </c>
      <c r="Q15" s="11">
        <v>2</v>
      </c>
      <c r="S15" s="11" t="s">
        <v>321</v>
      </c>
      <c r="T15" s="11">
        <v>1</v>
      </c>
      <c r="AB15" s="11" t="s">
        <v>113</v>
      </c>
      <c r="AC15" s="11" t="s">
        <v>31</v>
      </c>
      <c r="AD15" s="11">
        <v>2</v>
      </c>
    </row>
    <row r="16" spans="1:32" ht="60" x14ac:dyDescent="0.25">
      <c r="A16" s="12" t="s">
        <v>281</v>
      </c>
      <c r="B16" s="12">
        <v>1</v>
      </c>
      <c r="E16" s="12"/>
      <c r="F16" s="11" t="s">
        <v>539</v>
      </c>
      <c r="G16" s="11">
        <v>1</v>
      </c>
      <c r="M16" s="11" t="s">
        <v>269</v>
      </c>
      <c r="N16" s="11">
        <v>1</v>
      </c>
      <c r="P16" s="11" t="s">
        <v>45</v>
      </c>
      <c r="Q16" s="11">
        <v>5</v>
      </c>
      <c r="S16" s="11" t="s">
        <v>336</v>
      </c>
      <c r="T16" s="11">
        <v>1</v>
      </c>
      <c r="AB16" s="11" t="s">
        <v>113</v>
      </c>
      <c r="AC16" s="11" t="s">
        <v>79</v>
      </c>
      <c r="AD16" s="11">
        <v>1</v>
      </c>
    </row>
    <row r="17" spans="1:30" ht="60" x14ac:dyDescent="0.25">
      <c r="A17" s="12" t="s">
        <v>295</v>
      </c>
      <c r="B17" s="12">
        <v>1</v>
      </c>
      <c r="E17" s="12"/>
      <c r="F17" s="11" t="s">
        <v>296</v>
      </c>
      <c r="G17" s="11">
        <v>4</v>
      </c>
      <c r="M17" s="11" t="s">
        <v>281</v>
      </c>
      <c r="N17" s="11">
        <v>1</v>
      </c>
      <c r="P17" s="11" t="s">
        <v>349</v>
      </c>
      <c r="Q17" s="11">
        <v>1</v>
      </c>
      <c r="S17" s="11" t="s">
        <v>370</v>
      </c>
      <c r="T17" s="11">
        <v>1</v>
      </c>
      <c r="AB17" s="11" t="s">
        <v>638</v>
      </c>
      <c r="AC17" s="11" t="s">
        <v>639</v>
      </c>
      <c r="AD17" s="11">
        <v>1</v>
      </c>
    </row>
    <row r="18" spans="1:30" ht="45" x14ac:dyDescent="0.25">
      <c r="A18" s="12" t="s">
        <v>309</v>
      </c>
      <c r="B18" s="12">
        <v>1</v>
      </c>
      <c r="E18" s="12"/>
      <c r="F18" s="11" t="s">
        <v>257</v>
      </c>
      <c r="G18" s="11">
        <v>1</v>
      </c>
      <c r="M18" s="11" t="s">
        <v>295</v>
      </c>
      <c r="N18" s="11">
        <v>1</v>
      </c>
      <c r="P18" s="11" t="s">
        <v>337</v>
      </c>
      <c r="Q18" s="11">
        <v>2</v>
      </c>
      <c r="S18" s="11" t="s">
        <v>527</v>
      </c>
      <c r="T18" s="11">
        <v>1</v>
      </c>
      <c r="AB18" s="11" t="s">
        <v>563</v>
      </c>
      <c r="AC18" s="11" t="s">
        <v>738</v>
      </c>
      <c r="AD18" s="11">
        <v>2</v>
      </c>
    </row>
    <row r="19" spans="1:30" ht="30" x14ac:dyDescent="0.25">
      <c r="A19" s="12" t="s">
        <v>323</v>
      </c>
      <c r="B19" s="12">
        <v>1</v>
      </c>
      <c r="E19" s="12"/>
      <c r="F19" s="11" t="s">
        <v>639</v>
      </c>
      <c r="G19" s="11">
        <v>1</v>
      </c>
      <c r="M19" s="11" t="s">
        <v>309</v>
      </c>
      <c r="N19" s="11">
        <v>1</v>
      </c>
      <c r="P19" s="11" t="s">
        <v>693</v>
      </c>
      <c r="Q19" s="11">
        <v>1</v>
      </c>
      <c r="S19" s="11" t="s">
        <v>550</v>
      </c>
      <c r="T19" s="11">
        <v>1</v>
      </c>
      <c r="AB19" s="11" t="s">
        <v>563</v>
      </c>
      <c r="AC19" s="11" t="s">
        <v>63</v>
      </c>
      <c r="AD19" s="11">
        <v>1</v>
      </c>
    </row>
    <row r="20" spans="1:30" ht="75" x14ac:dyDescent="0.25">
      <c r="A20" s="12" t="s">
        <v>349</v>
      </c>
      <c r="B20" s="12">
        <v>1</v>
      </c>
      <c r="E20" s="12"/>
      <c r="F20" s="11" t="s">
        <v>31</v>
      </c>
      <c r="G20" s="11">
        <v>8</v>
      </c>
      <c r="M20" s="11" t="s">
        <v>323</v>
      </c>
      <c r="N20" s="11">
        <v>1</v>
      </c>
      <c r="P20" s="11" t="s">
        <v>516</v>
      </c>
      <c r="Q20" s="11">
        <v>1</v>
      </c>
      <c r="S20" s="11" t="s">
        <v>574</v>
      </c>
      <c r="T20" s="11">
        <v>1</v>
      </c>
      <c r="AB20" s="11" t="s">
        <v>283</v>
      </c>
      <c r="AC20" s="11" t="s">
        <v>63</v>
      </c>
      <c r="AD20" s="11">
        <v>2</v>
      </c>
    </row>
    <row r="21" spans="1:30" ht="60" x14ac:dyDescent="0.25">
      <c r="A21" s="12" t="s">
        <v>371</v>
      </c>
      <c r="B21" s="12">
        <v>1</v>
      </c>
      <c r="E21" s="12"/>
      <c r="F21" s="11" t="s">
        <v>87</v>
      </c>
      <c r="G21" s="11">
        <v>1</v>
      </c>
      <c r="M21" s="11" t="s">
        <v>349</v>
      </c>
      <c r="N21" s="11">
        <v>1</v>
      </c>
      <c r="P21" s="11" t="s">
        <v>371</v>
      </c>
      <c r="Q21" s="11">
        <v>1</v>
      </c>
      <c r="S21" s="11" t="s">
        <v>601</v>
      </c>
      <c r="T21" s="11">
        <v>1</v>
      </c>
      <c r="AB21" s="11" t="s">
        <v>283</v>
      </c>
      <c r="AC21" s="11" t="s">
        <v>31</v>
      </c>
      <c r="AD21" s="11">
        <v>1</v>
      </c>
    </row>
    <row r="22" spans="1:30" ht="45" x14ac:dyDescent="0.25">
      <c r="A22" s="12" t="s">
        <v>397</v>
      </c>
      <c r="B22" s="12">
        <v>1</v>
      </c>
      <c r="E22" s="12"/>
      <c r="F22" s="11" t="s">
        <v>455</v>
      </c>
      <c r="G22" s="11">
        <v>1</v>
      </c>
      <c r="M22" s="11" t="s">
        <v>371</v>
      </c>
      <c r="N22" s="11">
        <v>1</v>
      </c>
      <c r="P22" s="11" t="s">
        <v>161</v>
      </c>
      <c r="Q22" s="11">
        <v>1</v>
      </c>
      <c r="S22" s="11" t="s">
        <v>254</v>
      </c>
      <c r="T22" s="11">
        <v>1</v>
      </c>
      <c r="AB22" s="11" t="s">
        <v>283</v>
      </c>
      <c r="AC22" s="11" t="s">
        <v>350</v>
      </c>
      <c r="AD22" s="11">
        <v>1</v>
      </c>
    </row>
    <row r="23" spans="1:30" ht="60" x14ac:dyDescent="0.25">
      <c r="A23" s="12" t="s">
        <v>421</v>
      </c>
      <c r="B23" s="12">
        <v>1</v>
      </c>
      <c r="E23" s="12"/>
      <c r="F23" s="11" t="s">
        <v>489</v>
      </c>
      <c r="G23" s="11">
        <v>1</v>
      </c>
      <c r="M23" s="11" t="s">
        <v>397</v>
      </c>
      <c r="N23" s="11">
        <v>1</v>
      </c>
      <c r="P23" s="11" t="s">
        <v>421</v>
      </c>
      <c r="Q23" s="11">
        <v>1</v>
      </c>
      <c r="S23" s="11" t="s">
        <v>680</v>
      </c>
      <c r="T23" s="11">
        <v>1</v>
      </c>
      <c r="AB23" s="11" t="s">
        <v>99</v>
      </c>
      <c r="AC23" s="11" t="s">
        <v>63</v>
      </c>
      <c r="AD23" s="11">
        <v>1</v>
      </c>
    </row>
    <row r="24" spans="1:30" ht="60" x14ac:dyDescent="0.25">
      <c r="A24" s="12" t="s">
        <v>467</v>
      </c>
      <c r="B24" s="12">
        <v>1</v>
      </c>
      <c r="E24" s="12"/>
      <c r="F24" s="11" t="s">
        <v>79</v>
      </c>
      <c r="G24" s="11">
        <v>5</v>
      </c>
      <c r="M24" s="11" t="s">
        <v>421</v>
      </c>
      <c r="N24" s="11">
        <v>1</v>
      </c>
      <c r="P24" s="11" t="s">
        <v>281</v>
      </c>
      <c r="Q24" s="11">
        <v>1</v>
      </c>
      <c r="S24" s="11" t="s">
        <v>692</v>
      </c>
      <c r="T24" s="11">
        <v>1</v>
      </c>
      <c r="AB24" s="11" t="s">
        <v>46</v>
      </c>
      <c r="AC24" s="11" t="s">
        <v>32</v>
      </c>
      <c r="AD24" s="11">
        <v>4</v>
      </c>
    </row>
    <row r="25" spans="1:30" ht="30" x14ac:dyDescent="0.25">
      <c r="A25" s="12" t="s">
        <v>516</v>
      </c>
      <c r="B25" s="12">
        <v>1</v>
      </c>
      <c r="E25" s="12"/>
      <c r="F25" s="11" t="s">
        <v>189</v>
      </c>
      <c r="G25" s="11">
        <v>3</v>
      </c>
      <c r="M25" s="11" t="s">
        <v>467</v>
      </c>
      <c r="N25" s="11">
        <v>1</v>
      </c>
      <c r="P25" s="11" t="s">
        <v>269</v>
      </c>
      <c r="Q25" s="11">
        <v>1</v>
      </c>
      <c r="S25" s="11" t="s">
        <v>702</v>
      </c>
      <c r="T25" s="11">
        <v>1</v>
      </c>
      <c r="AB25" s="11" t="s">
        <v>46</v>
      </c>
      <c r="AC25" s="11" t="s">
        <v>31</v>
      </c>
      <c r="AD25" s="11">
        <v>4</v>
      </c>
    </row>
    <row r="26" spans="1:30" ht="60" x14ac:dyDescent="0.25">
      <c r="A26" s="12" t="s">
        <v>576</v>
      </c>
      <c r="B26" s="12">
        <v>1</v>
      </c>
      <c r="E26" s="12"/>
      <c r="F26" s="11" t="s">
        <v>589</v>
      </c>
      <c r="G26" s="11">
        <v>1</v>
      </c>
      <c r="M26" s="11" t="s">
        <v>516</v>
      </c>
      <c r="N26" s="11">
        <v>1</v>
      </c>
      <c r="P26" s="11" t="s">
        <v>397</v>
      </c>
      <c r="Q26" s="11">
        <v>1</v>
      </c>
      <c r="S26" s="11" t="s">
        <v>735</v>
      </c>
      <c r="T26" s="11">
        <v>1</v>
      </c>
      <c r="AB26" s="11" t="s">
        <v>46</v>
      </c>
      <c r="AC26" s="11" t="s">
        <v>296</v>
      </c>
      <c r="AD26" s="11">
        <v>4</v>
      </c>
    </row>
    <row r="27" spans="1:30" ht="75" x14ac:dyDescent="0.25">
      <c r="A27" s="12" t="s">
        <v>588</v>
      </c>
      <c r="B27" s="12">
        <v>1</v>
      </c>
      <c r="E27" s="12"/>
      <c r="F27" s="11" t="s">
        <v>399</v>
      </c>
      <c r="G27" s="11">
        <v>1</v>
      </c>
      <c r="M27" s="11" t="s">
        <v>576</v>
      </c>
      <c r="N27" s="11">
        <v>1</v>
      </c>
      <c r="P27" s="11" t="s">
        <v>588</v>
      </c>
      <c r="Q27" s="11">
        <v>1</v>
      </c>
      <c r="S27" s="11" t="s">
        <v>767</v>
      </c>
      <c r="T27" s="11">
        <v>1</v>
      </c>
      <c r="AB27" s="11" t="s">
        <v>46</v>
      </c>
      <c r="AC27" s="11" t="s">
        <v>553</v>
      </c>
      <c r="AD27" s="11">
        <v>2</v>
      </c>
    </row>
    <row r="28" spans="1:30" ht="30" x14ac:dyDescent="0.25">
      <c r="A28" s="12" t="s">
        <v>670</v>
      </c>
      <c r="B28" s="12">
        <v>1</v>
      </c>
      <c r="E28" s="12"/>
      <c r="F28" s="11"/>
      <c r="G28" s="11">
        <v>1</v>
      </c>
      <c r="M28" s="11" t="s">
        <v>588</v>
      </c>
      <c r="N28" s="11">
        <v>1</v>
      </c>
      <c r="P28" s="11" t="s">
        <v>214</v>
      </c>
      <c r="Q28" s="11">
        <v>4</v>
      </c>
      <c r="S28" s="11" t="s">
        <v>775</v>
      </c>
      <c r="T28" s="11">
        <v>1</v>
      </c>
      <c r="AB28" s="11" t="s">
        <v>46</v>
      </c>
      <c r="AC28" s="11" t="s">
        <v>47</v>
      </c>
      <c r="AD28" s="11">
        <v>2</v>
      </c>
    </row>
    <row r="29" spans="1:30" ht="75" x14ac:dyDescent="0.25">
      <c r="A29" s="12" t="s">
        <v>693</v>
      </c>
      <c r="B29" s="12">
        <v>1</v>
      </c>
      <c r="M29" s="11" t="s">
        <v>670</v>
      </c>
      <c r="N29" s="11">
        <v>1</v>
      </c>
      <c r="P29" s="11" t="s">
        <v>681</v>
      </c>
      <c r="Q29" s="11">
        <v>2</v>
      </c>
      <c r="AB29" s="11" t="s">
        <v>46</v>
      </c>
      <c r="AC29" s="11" t="s">
        <v>87</v>
      </c>
      <c r="AD29" s="11">
        <v>1</v>
      </c>
    </row>
    <row r="30" spans="1:30" ht="90" x14ac:dyDescent="0.25">
      <c r="A30" s="12" t="s">
        <v>703</v>
      </c>
      <c r="B30" s="12">
        <v>1</v>
      </c>
      <c r="M30" s="11" t="s">
        <v>693</v>
      </c>
      <c r="N30" s="11">
        <v>1</v>
      </c>
      <c r="P30" s="11" t="s">
        <v>323</v>
      </c>
      <c r="Q30" s="11">
        <v>1</v>
      </c>
      <c r="AB30" s="11" t="s">
        <v>46</v>
      </c>
      <c r="AC30" s="11" t="s">
        <v>539</v>
      </c>
      <c r="AD30" s="11">
        <v>1</v>
      </c>
    </row>
    <row r="31" spans="1:30" ht="60" x14ac:dyDescent="0.25">
      <c r="A31" s="12" t="s">
        <v>736</v>
      </c>
      <c r="B31" s="12">
        <v>1</v>
      </c>
      <c r="M31" s="11" t="s">
        <v>703</v>
      </c>
      <c r="N31" s="11">
        <v>1</v>
      </c>
      <c r="P31" s="11" t="s">
        <v>576</v>
      </c>
      <c r="Q31" s="11">
        <v>1</v>
      </c>
      <c r="AB31" s="11" t="s">
        <v>46</v>
      </c>
      <c r="AC31" s="11" t="s">
        <v>257</v>
      </c>
      <c r="AD31" s="11">
        <v>1</v>
      </c>
    </row>
    <row r="32" spans="1:30" ht="45" x14ac:dyDescent="0.25">
      <c r="A32" s="12" t="s">
        <v>758</v>
      </c>
      <c r="B32" s="12">
        <v>1</v>
      </c>
      <c r="M32" s="11" t="s">
        <v>736</v>
      </c>
      <c r="N32" s="11">
        <v>1</v>
      </c>
      <c r="P32" s="11" t="s">
        <v>467</v>
      </c>
      <c r="Q32" s="11">
        <v>1</v>
      </c>
      <c r="AB32" s="11" t="s">
        <v>46</v>
      </c>
      <c r="AC32" s="11" t="s">
        <v>372</v>
      </c>
      <c r="AD32" s="11">
        <v>1</v>
      </c>
    </row>
    <row r="33" spans="13:30" ht="75" x14ac:dyDescent="0.25">
      <c r="M33" s="11" t="s">
        <v>758</v>
      </c>
      <c r="N33" s="11">
        <v>1</v>
      </c>
      <c r="P33" s="11" t="s">
        <v>124</v>
      </c>
      <c r="Q33" s="11">
        <v>1</v>
      </c>
      <c r="AB33" s="11" t="s">
        <v>46</v>
      </c>
      <c r="AC33" s="11" t="s">
        <v>189</v>
      </c>
      <c r="AD33" s="11">
        <v>1</v>
      </c>
    </row>
    <row r="34" spans="13:30" ht="30" x14ac:dyDescent="0.25">
      <c r="AB34" s="11" t="s">
        <v>46</v>
      </c>
      <c r="AC34" s="11" t="s">
        <v>625</v>
      </c>
      <c r="AD34" s="11">
        <v>1</v>
      </c>
    </row>
    <row r="35" spans="13:30" ht="30" x14ac:dyDescent="0.25">
      <c r="AB35" s="11" t="s">
        <v>46</v>
      </c>
      <c r="AC35" s="11" t="s">
        <v>399</v>
      </c>
      <c r="AD35" s="11">
        <v>1</v>
      </c>
    </row>
    <row r="36" spans="13:30" ht="30" x14ac:dyDescent="0.25">
      <c r="AB36" s="11" t="s">
        <v>46</v>
      </c>
      <c r="AC36" s="11" t="s">
        <v>422</v>
      </c>
      <c r="AD36" s="11">
        <v>1</v>
      </c>
    </row>
    <row r="37" spans="13:30" ht="30" x14ac:dyDescent="0.25">
      <c r="AB37" s="11" t="s">
        <v>46</v>
      </c>
      <c r="AC37" s="11" t="s">
        <v>63</v>
      </c>
      <c r="AD37" s="11">
        <v>1</v>
      </c>
    </row>
    <row r="38" spans="13:30" ht="60" x14ac:dyDescent="0.25">
      <c r="AB38" s="11" t="s">
        <v>46</v>
      </c>
      <c r="AC38" s="11" t="s">
        <v>455</v>
      </c>
      <c r="AD38" s="11">
        <v>1</v>
      </c>
    </row>
    <row r="39" spans="13:30" ht="60" x14ac:dyDescent="0.25">
      <c r="AB39" s="11" t="s">
        <v>46</v>
      </c>
      <c r="AC39" s="11" t="s">
        <v>489</v>
      </c>
      <c r="AD39" s="11">
        <v>1</v>
      </c>
    </row>
    <row r="40" spans="13:30" ht="30" x14ac:dyDescent="0.25">
      <c r="AB40" s="11" t="s">
        <v>30</v>
      </c>
      <c r="AC40" s="11" t="s">
        <v>125</v>
      </c>
      <c r="AD40" s="11">
        <v>3</v>
      </c>
    </row>
    <row r="41" spans="13:30" ht="30" x14ac:dyDescent="0.25">
      <c r="AB41" s="11" t="s">
        <v>30</v>
      </c>
      <c r="AC41" s="11" t="s">
        <v>31</v>
      </c>
      <c r="AD41" s="11">
        <v>1</v>
      </c>
    </row>
    <row r="42" spans="13:30" ht="30" x14ac:dyDescent="0.25">
      <c r="AB42" s="11" t="s">
        <v>30</v>
      </c>
      <c r="AC42" s="11" t="s">
        <v>47</v>
      </c>
      <c r="AD42" s="11">
        <v>1</v>
      </c>
    </row>
    <row r="43" spans="13:30" ht="30" x14ac:dyDescent="0.25">
      <c r="AB43" s="11" t="s">
        <v>30</v>
      </c>
      <c r="AC43" s="11" t="s">
        <v>32</v>
      </c>
      <c r="AD43" s="11">
        <v>1</v>
      </c>
    </row>
    <row r="44" spans="13:30" ht="60" x14ac:dyDescent="0.25">
      <c r="AB44" s="11" t="s">
        <v>528</v>
      </c>
      <c r="AC44" s="11" t="s">
        <v>189</v>
      </c>
      <c r="AD44" s="11">
        <v>1</v>
      </c>
    </row>
    <row r="45" spans="13:30" ht="30" x14ac:dyDescent="0.25">
      <c r="AB45" s="11" t="s">
        <v>528</v>
      </c>
      <c r="AC45" s="11" t="s">
        <v>125</v>
      </c>
      <c r="AD45" s="11">
        <v>1</v>
      </c>
    </row>
    <row r="46" spans="13:30" ht="45" x14ac:dyDescent="0.25">
      <c r="AB46" s="11" t="s">
        <v>528</v>
      </c>
      <c r="AC46" s="11" t="s">
        <v>589</v>
      </c>
      <c r="AD46" s="1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9c4bad-df14-4172-87df-060f84f01a11}" enabled="0" method="" siteId="{209c4bad-df14-4172-87df-060f84f01a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Data Dictionary</vt:lpstr>
      <vt:lpstr>Codebook</vt:lpstr>
      <vt:lpstr>Uploads_Index</vt:lpstr>
      <vt:lpstr>Coded_Cases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Veisi, Hadi</cp:lastModifiedBy>
  <dcterms:created xsi:type="dcterms:W3CDTF">2026-03-09T17:14:50Z</dcterms:created>
  <dcterms:modified xsi:type="dcterms:W3CDTF">2026-03-17T00:55:52Z</dcterms:modified>
</cp:coreProperties>
</file>